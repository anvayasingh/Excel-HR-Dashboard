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D6C7484-2FC5-45BC-8B85-7BF1C89A73EC}" xr6:coauthVersionLast="47" xr6:coauthVersionMax="47" xr10:uidLastSave="{00000000-0000-0000-0000-000000000000}"/>
  <bookViews>
    <workbookView xWindow="-110" yWindow="-110" windowWidth="19420" windowHeight="10300" activeTab="9" xr2:uid="{00000000-000D-0000-FFFF-FFFF00000000}"/>
  </bookViews>
  <sheets>
    <sheet name="Data" sheetId="1" r:id="rId1"/>
    <sheet name="Marital Status" sheetId="14" r:id="rId2"/>
    <sheet name="Attrition by Age group" sheetId="13" r:id="rId3"/>
    <sheet name="Dept wise attrition" sheetId="12" r:id="rId4"/>
    <sheet name="Attrition by job" sheetId="11" r:id="rId5"/>
    <sheet name="Education by Attrition" sheetId="10" r:id="rId6"/>
    <sheet name="Gender" sheetId="9" r:id="rId7"/>
    <sheet name="Rating" sheetId="8" r:id="rId8"/>
    <sheet name="KPI" sheetId="7" r:id="rId9"/>
    <sheet name="DASHBOARD" sheetId="4" r:id="rId10"/>
  </sheets>
  <definedNames>
    <definedName name="_xlchart.v1.10" hidden="1">'Attrition by job'!$E$3</definedName>
    <definedName name="_xlchart.v1.11" hidden="1">'Attrition by job'!$E$4:$E$12</definedName>
    <definedName name="_xlchart.v1.3" hidden="1">'Attrition by job'!$D$4:$D$12</definedName>
    <definedName name="_xlchart.v1.4" hidden="1">'Attrition by job'!$E$3</definedName>
    <definedName name="_xlchart.v1.5" hidden="1">'Attrition by job'!$E$4:$E$12</definedName>
    <definedName name="_xlchart.v1.9" hidden="1">'Attrition by job'!$D$4:$D$12</definedName>
    <definedName name="_xlchart.v2.0" hidden="1">'Marital Status'!$D$4:$D$6</definedName>
    <definedName name="_xlchart.v2.1" hidden="1">'Marital Status'!$E$3</definedName>
    <definedName name="_xlchart.v2.2"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_Field1">#N/A</definedName>
    <definedName name="Slicer_Gender2">#N/A</definedName>
    <definedName name="Slicer_Job_Rol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E7" i="11"/>
  <c r="B8" i="7"/>
  <c r="E10" i="11"/>
  <c r="A8" i="7"/>
  <c r="E11" i="11"/>
  <c r="B9" i="9"/>
  <c r="B8" i="9"/>
  <c r="E9" i="11"/>
  <c r="C8" i="7"/>
  <c r="E8" i="11"/>
  <c r="E12" i="11"/>
  <c r="E4" i="11"/>
  <c r="B6" i="8"/>
  <c r="E5" i="11"/>
  <c r="E6" i="11"/>
  <c r="E6" i="14"/>
  <c r="E5" i="14"/>
  <c r="E4" i="14"/>
  <c r="C8" i="9" l="1"/>
  <c r="C9" i="9"/>
  <c r="B7" i="8"/>
  <c r="C7" i="8" s="1"/>
  <c r="C6" i="8"/>
  <c r="D8" i="7"/>
  <c r="E8"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<sst xmlns="http://schemas.openxmlformats.org/spreadsheetml/2006/main" count="19216" uniqueCount="1570">
  <si>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</si>
  <si>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</si>
  <si>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</si>
  <si>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</si>
  <si>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</si>
  <si>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</si>
  <si>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</si>
  <si>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</si>
  <si>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</si>
  <si>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</si>
  <si>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</si>
  <si>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</si>
  <si>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</si>
  <si>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</si>
  <si>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</si>
  <si>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</si>
  <si>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</si>
  <si>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</si>
  <si>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</si>
  <si>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</si>
  <si>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</si>
  <si>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</si>
  <si>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</si>
  <si>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</si>
  <si>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</si>
  <si>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</si>
  <si>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</si>
  <si>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</si>
  <si>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</si>
  <si>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</si>
  <si>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</si>
  <si>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</si>
  <si>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</si>
  <si>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</si>
  <si>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</si>
  <si>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</si>
  <si>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</si>
  <si>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</si>
  <si>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</si>
  <si>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</si>
  <si>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</si>
  <si>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</si>
  <si>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</si>
  <si>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</si>
  <si>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</si>
  <si>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</si>
  <si>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</si>
  <si>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</si>
  <si>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</si>
  <si>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</si>
  <si>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</si>
  <si>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</si>
  <si>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</si>
  <si>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</si>
  <si>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</si>
  <si>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</si>
  <si>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</si>
  <si>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</si>
  <si>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</si>
  <si>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</si>
  <si>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</si>
  <si>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</si>
  <si>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</si>
  <si>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</si>
  <si>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</si>
  <si>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</si>
  <si>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</si>
  <si>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</si>
  <si>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</si>
  <si>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</si>
  <si>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</si>
  <si>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</si>
  <si>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</si>
  <si>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</si>
  <si>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</si>
  <si>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</si>
  <si>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</si>
  <si>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</si>
  <si>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</si>
  <si>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</si>
  <si>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</si>
  <si>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</si>
  <si>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</si>
  <si>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</si>
  <si>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</si>
  <si>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</si>
  <si>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</si>
  <si>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</si>
  <si>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</si>
  <si>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</si>
  <si>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</si>
  <si>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</si>
  <si>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</si>
  <si>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</si>
  <si>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</si>
  <si>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</si>
  <si>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</si>
  <si>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</si>
  <si>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</si>
  <si>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</si>
  <si>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</si>
  <si>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</si>
  <si>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</si>
  <si>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</si>
  <si>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</si>
  <si>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</si>
  <si>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</si>
  <si>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</si>
  <si>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</si>
  <si>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</si>
  <si>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</si>
  <si>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</si>
  <si>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</si>
  <si>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</si>
  <si>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</si>
  <si>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</si>
  <si>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</si>
  <si>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</si>
  <si>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</si>
  <si>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</si>
  <si>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</si>
  <si>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</si>
  <si>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</si>
  <si>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</si>
  <si>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</si>
  <si>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</si>
  <si>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</si>
  <si>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</si>
  <si>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</si>
  <si>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</si>
  <si>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</si>
  <si>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</si>
  <si>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</si>
  <si>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</si>
  <si>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</si>
  <si>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</si>
  <si>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</si>
  <si>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</si>
  <si>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</si>
  <si>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</si>
  <si>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</si>
  <si>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</si>
  <si>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</si>
  <si>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</si>
  <si>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</si>
  <si>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</si>
  <si>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</si>
  <si>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</si>
  <si>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</si>
  <si>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</si>
  <si>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</si>
  <si>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</si>
  <si>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</si>
  <si>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</si>
  <si>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</si>
  <si>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</si>
  <si>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</si>
  <si>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</si>
  <si>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</si>
  <si>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</si>
  <si>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</si>
  <si>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</si>
  <si>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</si>
  <si>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</si>
  <si>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</si>
  <si>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</si>
  <si>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</si>
  <si>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</si>
  <si>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</si>
  <si>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</si>
  <si>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</si>
  <si>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</si>
  <si>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</si>
  <si>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</si>
  <si>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</si>
  <si>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</si>
  <si>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</si>
  <si>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</si>
  <si>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</si>
  <si>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</si>
  <si>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</si>
  <si>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</si>
  <si>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</si>
  <si>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</si>
  <si>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</si>
  <si>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</si>
  <si>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</si>
  <si>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</si>
  <si>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</si>
  <si>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</si>
  <si>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</si>
  <si>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</si>
  <si>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</si>
  <si>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</si>
  <si>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</si>
  <si>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</si>
  <si>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</si>
  <si>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</si>
  <si>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</si>
  <si>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</si>
  <si>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</si>
  <si>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</si>
  <si>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</si>
  <si>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</si>
  <si>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</si>
  <si>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</si>
  <si>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</si>
  <si>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</si>
  <si>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</si>
  <si>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</si>
  <si>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</si>
  <si>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</si>
  <si>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</si>
  <si>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</si>
  <si>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</si>
  <si>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</si>
  <si>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</si>
  <si>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</si>
  <si>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</si>
  <si>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</si>
  <si>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</si>
  <si>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</si>
  <si>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</si>
  <si>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</si>
  <si>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</si>
  <si>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</si>
  <si>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</si>
  <si>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</si>
  <si>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</si>
  <si>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</si>
  <si>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</si>
  <si>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</si>
  <si>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</si>
  <si>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</si>
  <si>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</si>
  <si>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</si>
  <si>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</si>
  <si>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</si>
  <si>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</si>
  <si>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</si>
  <si>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</si>
  <si>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</si>
  <si>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</si>
  <si>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</si>
  <si>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</si>
  <si>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</si>
  <si>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</si>
  <si>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</si>
  <si>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</si>
  <si>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</si>
  <si>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</si>
  <si>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</si>
  <si>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</si>
  <si>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</si>
  <si>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</si>
  <si>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</si>
  <si>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</si>
  <si>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</si>
  <si>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</si>
  <si>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</si>
  <si>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</si>
  <si>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</si>
  <si>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</si>
  <si>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</si>
  <si>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</si>
  <si>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</si>
  <si>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</si>
  <si>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</si>
  <si>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</si>
  <si>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</si>
  <si>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</si>
  <si>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</si>
  <si>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</si>
  <si>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</si>
  <si>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</si>
  <si>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</si>
  <si>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</si>
  <si>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</si>
  <si>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</si>
  <si>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</si>
  <si>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</si>
  <si>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</si>
  <si>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</si>
  <si>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</si>
  <si>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</si>
  <si>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</si>
  <si>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</si>
  <si>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</si>
  <si>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</si>
  <si>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</si>
  <si>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</si>
  <si>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</si>
  <si>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</si>
  <si>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</si>
  <si>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</si>
  <si>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</si>
  <si>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</si>
  <si>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</si>
  <si>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</si>
  <si>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</si>
  <si>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</si>
  <si>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</si>
  <si>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</si>
  <si>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</si>
  <si>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</si>
  <si>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</si>
  <si>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</si>
  <si>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</si>
  <si>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</si>
  <si>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</si>
  <si>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</si>
  <si>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</si>
  <si>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</si>
  <si>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</si>
  <si>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</si>
  <si>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</si>
  <si>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</si>
  <si>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</si>
  <si>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</si>
  <si>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</si>
  <si>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</si>
  <si>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</si>
  <si>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</si>
  <si>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</si>
  <si>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</si>
  <si>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</si>
  <si>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</si>
  <si>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</si>
  <si>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</si>
  <si>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</si>
  <si>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</si>
  <si>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</si>
  <si>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</si>
  <si>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</si>
  <si>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</si>
  <si>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</si>
  <si>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</si>
  <si>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</si>
  <si>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</si>
  <si>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</si>
  <si>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</si>
  <si>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</si>
  <si>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</si>
  <si>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</si>
  <si>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</si>
  <si>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</si>
  <si>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</si>
  <si>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</si>
  <si>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</si>
  <si>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</si>
  <si>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</si>
  <si>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</si>
  <si>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</si>
  <si>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</si>
  <si>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</si>
  <si>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</si>
  <si>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</si>
  <si>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</si>
  <si>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</si>
  <si>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</si>
  <si>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</si>
  <si>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</si>
  <si>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</si>
  <si>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</si>
  <si>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</si>
  <si>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</si>
  <si>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</si>
  <si>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</si>
  <si>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</si>
  <si>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</si>
  <si>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</si>
  <si>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</si>
  <si>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</si>
  <si>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</si>
  <si>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</si>
  <si>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</si>
  <si>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</si>
  <si>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</si>
  <si>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</si>
  <si>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</si>
  <si>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</si>
  <si>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</si>
  <si>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</si>
  <si>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</si>
  <si>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</si>
  <si>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</si>
  <si>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</si>
  <si>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</si>
  <si>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</si>
  <si>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</si>
  <si>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</si>
  <si>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</si>
  <si>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</si>
  <si>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</si>
  <si>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</si>
  <si>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</si>
  <si>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</si>
  <si>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</si>
  <si>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</si>
  <si>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</si>
  <si>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</si>
  <si>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</si>
  <si>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</si>
  <si>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</si>
  <si>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</si>
  <si>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</si>
  <si>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</si>
  <si>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</si>
  <si>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</si>
  <si>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</si>
  <si>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</si>
  <si>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</si>
  <si>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</si>
  <si>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</si>
  <si>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</si>
  <si>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</si>
  <si>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</si>
  <si>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</si>
  <si>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</si>
  <si>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</si>
  <si>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</si>
  <si>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</si>
  <si>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</si>
  <si>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</si>
  <si>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</si>
  <si>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</si>
  <si>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</si>
  <si>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</si>
  <si>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</si>
  <si>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</si>
  <si>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</si>
  <si>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</si>
  <si>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</si>
  <si>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</si>
  <si>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</si>
  <si>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</si>
  <si>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</si>
  <si>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</si>
  <si>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</si>
  <si>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</si>
  <si>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</si>
  <si>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</si>
  <si>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</si>
  <si>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</si>
  <si>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</si>
  <si>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</si>
  <si>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</si>
  <si>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</si>
  <si>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</si>
  <si>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</si>
  <si>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</si>
  <si>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</si>
  <si>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</si>
  <si>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</si>
  <si>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</si>
  <si>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</si>
  <si>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</si>
  <si>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</si>
  <si>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</si>
  <si>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</si>
  <si>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</si>
  <si>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</si>
  <si>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</si>
  <si>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</si>
  <si>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</si>
  <si>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</si>
  <si>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</si>
  <si>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</si>
  <si>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</si>
  <si>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</si>
  <si>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</si>
  <si>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</si>
  <si>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</si>
  <si>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</si>
  <si>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</si>
  <si>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</si>
  <si>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</si>
  <si>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</si>
  <si>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</si>
  <si>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</si>
  <si>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</si>
  <si>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</si>
  <si>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</si>
  <si>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</si>
  <si>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</si>
  <si>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</si>
  <si>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</si>
  <si>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</si>
  <si>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</si>
  <si>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</si>
  <si>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</si>
  <si>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</si>
  <si>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</si>
  <si>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</si>
  <si>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</si>
  <si>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</si>
  <si>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</si>
  <si>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</si>
  <si>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</si>
  <si>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</si>
  <si>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</si>
  <si>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</si>
  <si>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</si>
  <si>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</si>
  <si>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</si>
  <si>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</si>
  <si>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</si>
  <si>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</si>
  <si>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</si>
  <si>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</si>
  <si>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</si>
  <si>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</si>
  <si>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</si>
  <si>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</si>
  <si>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</si>
  <si>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</si>
  <si>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</si>
  <si>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</si>
  <si>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</si>
  <si>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</si>
  <si>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</si>
  <si>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</si>
  <si>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</si>
  <si>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</si>
  <si>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</si>
  <si>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</si>
  <si>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</si>
  <si>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</si>
  <si>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</si>
  <si>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</si>
  <si>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</si>
  <si>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</si>
  <si>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</si>
  <si>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</si>
  <si>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</si>
  <si>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</si>
  <si>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</si>
  <si>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</si>
  <si>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</si>
  <si>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</si>
  <si>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</si>
  <si>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</si>
  <si>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</si>
  <si>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</si>
  <si>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</si>
  <si>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</si>
  <si>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</si>
  <si>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</si>
  <si>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</si>
  <si>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</si>
  <si>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</si>
  <si>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</si>
  <si>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</si>
  <si>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</si>
  <si>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</si>
  <si>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</si>
  <si>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</si>
  <si>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</si>
  <si>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</si>
  <si>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</si>
  <si>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</si>
  <si>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</si>
  <si>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</si>
  <si>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</si>
  <si>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</si>
  <si>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</si>
  <si>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</si>
  <si>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</si>
  <si>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</si>
  <si>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</si>
  <si>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</si>
  <si>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</si>
  <si>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</si>
  <si>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</si>
  <si>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</si>
  <si>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</si>
  <si>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</si>
  <si>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</si>
  <si>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</si>
  <si>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</si>
  <si>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</si>
  <si>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</si>
  <si>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</si>
  <si>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</si>
  <si>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</si>
  <si>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</si>
  <si>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</si>
  <si>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</si>
  <si>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</si>
  <si>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</si>
  <si>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</si>
  <si>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</si>
  <si>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</si>
  <si>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</si>
  <si>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</si>
  <si>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</si>
  <si>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</si>
  <si>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</si>
  <si>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</si>
  <si>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</si>
  <si>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</si>
  <si>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</si>
  <si>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</si>
  <si>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</si>
  <si>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</si>
  <si>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</si>
  <si>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</si>
  <si>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</si>
  <si>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</si>
  <si>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</si>
  <si>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</si>
  <si>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</si>
  <si>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</si>
  <si>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</si>
  <si>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</si>
  <si>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</si>
  <si>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</si>
  <si>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</si>
  <si>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</si>
  <si>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</si>
  <si>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</si>
  <si>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</si>
  <si>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</si>
  <si>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</si>
  <si>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</si>
  <si>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</si>
  <si>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</si>
  <si>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</si>
  <si>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</si>
  <si>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</si>
  <si>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</si>
  <si>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</si>
  <si>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</si>
  <si>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</si>
  <si>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</si>
  <si>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</si>
  <si>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</si>
  <si>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</si>
  <si>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</si>
  <si>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</si>
  <si>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</si>
  <si>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</si>
  <si>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</si>
  <si>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</si>
  <si>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</si>
  <si>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</si>
  <si>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</si>
  <si>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</si>
  <si>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</si>
  <si>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</si>
  <si>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</si>
  <si>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</si>
  <si>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</si>
  <si>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</si>
  <si>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</si>
  <si>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</si>
  <si>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</si>
  <si>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</si>
  <si>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</si>
  <si>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</si>
  <si>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</si>
  <si>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</si>
  <si>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</si>
  <si>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</si>
  <si>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</si>
  <si>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</si>
  <si>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</si>
  <si>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</si>
  <si>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</si>
  <si>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</si>
  <si>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</si>
  <si>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</si>
  <si>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</si>
  <si>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</si>
  <si>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</si>
  <si>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</si>
  <si>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</si>
  <si>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</si>
  <si>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</si>
  <si>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</si>
  <si>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</si>
  <si>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</si>
  <si>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</si>
  <si>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</si>
  <si>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</si>
  <si>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</si>
  <si>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</si>
  <si>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</si>
  <si>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</si>
  <si>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</si>
  <si>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</si>
  <si>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</si>
  <si>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</si>
  <si>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</si>
  <si>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</si>
  <si>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</si>
  <si>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</si>
  <si>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</si>
  <si>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</si>
  <si>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</si>
  <si>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</si>
  <si>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</si>
  <si>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</si>
  <si>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</si>
  <si>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</si>
  <si>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</si>
  <si>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</si>
  <si>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</si>
  <si>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</si>
  <si>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</si>
  <si>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</si>
  <si>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</si>
  <si>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</si>
  <si>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</si>
  <si>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</si>
  <si>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</si>
  <si>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</si>
  <si>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</si>
  <si>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</si>
  <si>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</si>
  <si>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</si>
  <si>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</si>
  <si>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</si>
  <si>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</si>
  <si>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</si>
  <si>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</si>
  <si>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</si>
  <si>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</si>
  <si>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</si>
  <si>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</si>
  <si>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</si>
  <si>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</si>
  <si>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</si>
  <si>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</si>
  <si>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</si>
  <si>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</si>
  <si>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</si>
  <si>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</si>
  <si>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</si>
  <si>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</si>
  <si>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</si>
  <si>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</si>
  <si>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</si>
  <si>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</si>
  <si>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</si>
  <si>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</si>
  <si>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</si>
  <si>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</si>
  <si>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</si>
  <si>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</si>
  <si>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</si>
  <si>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</si>
  <si>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</si>
  <si>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</si>
  <si>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</si>
  <si>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</si>
  <si>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</si>
  <si>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</si>
  <si>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</si>
  <si>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</si>
  <si>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</si>
  <si>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</si>
  <si>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</si>
  <si>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</si>
  <si>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</si>
  <si>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</si>
  <si>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</si>
  <si>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</si>
  <si>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</si>
  <si>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</si>
  <si>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</si>
  <si>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</si>
  <si>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</si>
  <si>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</si>
  <si>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</si>
  <si>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</si>
  <si>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</si>
  <si>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</si>
  <si>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</si>
  <si>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</si>
  <si>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</si>
  <si>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</si>
  <si>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</si>
  <si>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</si>
  <si>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</si>
  <si>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</si>
  <si>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</si>
  <si>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</si>
  <si>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</si>
  <si>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</si>
  <si>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</si>
  <si>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</si>
  <si>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</si>
  <si>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</si>
  <si>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</si>
  <si>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</si>
  <si>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</si>
  <si>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</si>
  <si>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</si>
  <si>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</si>
  <si>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</si>
  <si>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</si>
  <si>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</si>
  <si>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</si>
  <si>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</si>
  <si>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</si>
  <si>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</si>
  <si>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</si>
  <si>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</si>
  <si>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</si>
  <si>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</si>
  <si>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</si>
  <si>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</si>
  <si>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</si>
  <si>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</si>
  <si>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</si>
  <si>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</si>
  <si>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</si>
  <si>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</si>
  <si>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</si>
  <si>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</si>
  <si>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</si>
  <si>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</si>
  <si>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</si>
  <si>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</si>
  <si>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</si>
  <si>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</si>
  <si>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</si>
  <si>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</si>
  <si>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</si>
  <si>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</si>
  <si>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</si>
  <si>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</si>
  <si>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</si>
  <si>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</si>
  <si>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</si>
  <si>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</si>
  <si>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</si>
  <si>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</si>
  <si>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</si>
  <si>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</si>
  <si>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</si>
  <si>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</si>
  <si>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</si>
  <si>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</si>
  <si>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</si>
  <si>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</si>
  <si>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</si>
  <si>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</si>
  <si>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</si>
  <si>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</si>
  <si>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</si>
  <si>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</si>
  <si>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</si>
  <si>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</si>
  <si>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</si>
  <si>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</si>
  <si>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</si>
  <si>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</si>
  <si>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</si>
  <si>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</si>
  <si>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</si>
  <si>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</si>
  <si>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</si>
  <si>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</si>
  <si>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</si>
  <si>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</si>
  <si>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</si>
  <si>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</si>
  <si>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</si>
  <si>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</si>
  <si>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</si>
  <si>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</si>
  <si>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</si>
  <si>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</si>
  <si>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</si>
  <si>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</si>
  <si>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</si>
  <si>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</si>
  <si>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</si>
  <si>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</si>
  <si>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</si>
  <si>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</si>
  <si>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</si>
  <si>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</si>
  <si>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</si>
  <si>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</si>
  <si>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</si>
  <si>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</si>
  <si>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</si>
  <si>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</si>
  <si>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</si>
  <si>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</si>
  <si>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</si>
  <si>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</si>
  <si>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</si>
  <si>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</si>
  <si>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</si>
  <si>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</si>
  <si>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</si>
  <si>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</si>
  <si>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</si>
  <si>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</si>
  <si>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</si>
  <si>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</si>
  <si>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</si>
  <si>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</si>
  <si>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</si>
  <si>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</si>
  <si>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</si>
  <si>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</si>
  <si>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</si>
  <si>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</si>
  <si>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</si>
  <si>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</si>
  <si>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</si>
  <si>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</si>
  <si>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</si>
  <si>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</si>
  <si>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</si>
  <si>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</si>
  <si>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</si>
  <si>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</si>
  <si>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</si>
  <si>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</si>
  <si>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</si>
  <si>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</si>
  <si>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</si>
  <si>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</si>
  <si>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</si>
  <si>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</si>
  <si>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</si>
  <si>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</si>
  <si>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</si>
  <si>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</si>
  <si>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</si>
  <si>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</si>
  <si>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</si>
  <si>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</si>
  <si>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</si>
  <si>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</si>
  <si>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</si>
  <si>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</si>
  <si>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</si>
  <si>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</si>
  <si>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</si>
  <si>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</si>
  <si>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</si>
  <si>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</si>
  <si>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</si>
  <si>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</si>
  <si>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</si>
  <si>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</si>
  <si>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</si>
  <si>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</si>
  <si>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</si>
  <si>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</si>
  <si>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</si>
  <si>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</si>
  <si>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</si>
  <si>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</si>
  <si>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</si>
  <si>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</si>
  <si>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</si>
  <si>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</si>
  <si>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</si>
  <si>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</si>
  <si>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</si>
  <si>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</si>
  <si>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</si>
  <si>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</si>
  <si>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</si>
  <si>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</si>
  <si>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</si>
  <si>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</si>
  <si>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</si>
  <si>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</si>
  <si>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</si>
  <si>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</si>
  <si>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</si>
  <si>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</si>
  <si>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</si>
  <si>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</si>
  <si>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</si>
  <si>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</si>
  <si>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</si>
  <si>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</si>
  <si>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</si>
  <si>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</si>
  <si>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</si>
  <si>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</si>
  <si>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</si>
  <si>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</si>
  <si>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</si>
  <si>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</si>
  <si>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</si>
  <si>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</si>
  <si>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</si>
  <si>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</si>
  <si>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</si>
  <si>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</si>
  <si>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</si>
  <si>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</si>
  <si>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</si>
  <si>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</si>
  <si>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</si>
  <si>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</si>
  <si>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</si>
  <si>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</si>
  <si>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</si>
  <si>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</si>
  <si>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</si>
  <si>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</si>
  <si>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</si>
  <si>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</si>
  <si>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</si>
  <si>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</si>
  <si>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</si>
  <si>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</si>
  <si>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</si>
  <si>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</si>
  <si>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</si>
  <si>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</si>
  <si>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</si>
  <si>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</si>
  <si>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</si>
  <si>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</si>
  <si>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</si>
  <si>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</si>
  <si>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</si>
  <si>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</si>
  <si>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</si>
  <si>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</si>
  <si>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</si>
  <si>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</si>
  <si>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</si>
  <si>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</si>
  <si>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</si>
  <si>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</si>
  <si>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</si>
  <si>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</si>
  <si>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</si>
  <si>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</si>
  <si>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</si>
  <si>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</si>
  <si>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</si>
  <si>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</si>
  <si>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</si>
  <si>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</si>
  <si>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</si>
  <si>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</si>
  <si>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</si>
  <si>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</si>
  <si>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</si>
  <si>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</si>
  <si>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</si>
  <si>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</si>
  <si>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</si>
  <si>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</si>
  <si>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</si>
  <si>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</si>
  <si>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</si>
  <si>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</si>
  <si>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</si>
  <si>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</si>
  <si>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</si>
  <si>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</si>
  <si>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</si>
  <si>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</si>
  <si>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</si>
  <si>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</si>
  <si>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</si>
  <si>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</si>
  <si>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</si>
  <si>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</si>
  <si>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</si>
  <si>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</si>
  <si>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</si>
  <si>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</si>
  <si>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</si>
  <si>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</si>
  <si>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</si>
  <si>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</si>
  <si>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</si>
  <si>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</si>
  <si>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</si>
  <si>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</si>
  <si>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</si>
  <si>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</si>
  <si>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</si>
  <si>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</si>
  <si>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</si>
  <si>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</si>
  <si>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</si>
  <si>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</si>
  <si>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</si>
  <si>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</si>
  <si>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</si>
  <si>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</si>
  <si>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</si>
  <si>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</si>
  <si>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</si>
  <si>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</si>
  <si>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</si>
  <si>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</si>
  <si>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</si>
  <si>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</si>
  <si>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</si>
  <si>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</si>
  <si>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</si>
  <si>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</si>
  <si>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</si>
  <si>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</si>
  <si>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</si>
  <si>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</si>
  <si>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</si>
  <si>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</si>
  <si>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</si>
  <si>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</si>
  <si>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</si>
  <si>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</si>
  <si>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</si>
  <si>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</si>
  <si>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</si>
  <si>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</si>
  <si>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</si>
  <si>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</si>
  <si>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</si>
  <si>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</si>
  <si>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</si>
  <si>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</si>
  <si>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</si>
  <si>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</si>
  <si>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</si>
  <si>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</si>
  <si>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</si>
  <si>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</si>
  <si>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</si>
  <si>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</si>
  <si>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</si>
  <si>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</si>
  <si>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</si>
  <si>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</si>
  <si>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</si>
  <si>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</si>
  <si>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</si>
  <si>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</si>
  <si>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</si>
  <si>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</si>
  <si>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</si>
  <si>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</si>
  <si>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</si>
  <si>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</si>
  <si>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</si>
  <si>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</si>
  <si>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</si>
  <si>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</si>
  <si>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</si>
  <si>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</si>
  <si>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</si>
  <si>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</si>
  <si>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</si>
  <si>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</si>
  <si>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</si>
  <si>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</si>
  <si>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</si>
  <si>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</si>
  <si>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</si>
  <si>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</si>
  <si>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</si>
  <si>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</si>
  <si>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</si>
  <si>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</si>
  <si>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</si>
  <si>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</si>
  <si>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</si>
  <si>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</si>
  <si>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</si>
  <si>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</si>
  <si>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</si>
  <si>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</si>
  <si>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</si>
  <si>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</si>
  <si>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</si>
  <si>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</si>
  <si>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</si>
  <si>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</si>
  <si>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</si>
  <si>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</si>
  <si>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</si>
  <si>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</si>
  <si>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</si>
  <si>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</si>
  <si>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</si>
  <si>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</si>
  <si>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</si>
  <si>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</si>
  <si>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</si>
  <si>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</si>
  <si>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</si>
  <si>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</si>
  <si>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</si>
  <si>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</si>
  <si>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</si>
  <si>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</si>
  <si>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</si>
  <si>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</si>
  <si>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</si>
  <si>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</si>
  <si>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</si>
  <si>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</si>
  <si>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</si>
  <si>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</si>
  <si>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</si>
  <si>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</si>
  <si>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</si>
  <si>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</si>
  <si>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</si>
  <si>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</si>
  <si>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</si>
  <si>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</si>
  <si>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</si>
  <si>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</si>
  <si>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</si>
  <si>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</si>
  <si>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</si>
  <si>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</si>
  <si>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</si>
  <si>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</si>
  <si>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</si>
  <si>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</si>
  <si>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</si>
  <si>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</si>
  <si>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</si>
  <si>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</si>
  <si>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</si>
  <si>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</si>
  <si>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</si>
  <si>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</si>
  <si>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</si>
  <si>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</si>
  <si>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</si>
  <si>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</si>
  <si>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</si>
  <si>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</si>
  <si>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</si>
  <si>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</si>
  <si>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</si>
  <si>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</si>
  <si>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</si>
  <si>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</si>
  <si>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</si>
  <si>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</si>
  <si>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</si>
  <si>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</si>
  <si>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</si>
  <si>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</si>
  <si>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</si>
  <si>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</si>
  <si>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</si>
  <si>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</si>
  <si>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</si>
  <si>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</si>
  <si>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</si>
  <si>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</si>
  <si>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</si>
  <si>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</si>
  <si>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</si>
  <si>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</si>
  <si>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</si>
  <si>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</si>
  <si>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</si>
  <si>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</si>
  <si>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</si>
  <si>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</si>
  <si>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</si>
  <si>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</si>
  <si>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</si>
  <si>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</si>
  <si>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</si>
  <si>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</si>
  <si>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</si>
  <si>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</si>
  <si>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</si>
  <si>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</si>
  <si>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</si>
  <si>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</si>
  <si>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</si>
  <si>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</si>
  <si>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</si>
  <si>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</si>
  <si>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</si>
  <si>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</si>
  <si>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</si>
  <si>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</si>
  <si>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</si>
  <si>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</si>
  <si>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</si>
  <si>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</si>
  <si>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</si>
  <si>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</si>
  <si>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</si>
  <si>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</si>
  <si>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</si>
  <si>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</si>
  <si>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</si>
  <si>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</si>
  <si>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</si>
  <si>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</si>
  <si>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</si>
  <si>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</si>
  <si>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</si>
  <si>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</si>
  <si>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</si>
  <si>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</si>
  <si>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</si>
  <si>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</si>
  <si>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</si>
  <si>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</si>
  <si>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</si>
  <si>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</si>
  <si>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</si>
  <si>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</si>
  <si>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</si>
  <si>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</si>
  <si>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</si>
  <si>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</si>
  <si>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</si>
  <si>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</si>
  <si>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</si>
  <si>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</si>
  <si>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</si>
  <si>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</si>
  <si>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</si>
  <si>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</si>
  <si>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</si>
  <si>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</si>
  <si>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</si>
  <si>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</si>
  <si>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</si>
  <si>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</si>
  <si>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</si>
  <si>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</si>
  <si>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</si>
  <si>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</si>
  <si>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</si>
  <si>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</si>
  <si>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</si>
  <si>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</si>
  <si>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</si>
  <si>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</si>
  <si>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</si>
  <si>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</si>
  <si>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</si>
  <si>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</si>
  <si>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</si>
  <si>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</si>
  <si>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</si>
  <si>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</si>
  <si>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</si>
  <si>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</si>
  <si>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</si>
  <si>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</si>
  <si>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</si>
  <si>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</si>
  <si>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</si>
  <si>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</si>
  <si>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</si>
  <si>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</si>
  <si>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</si>
  <si>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</si>
  <si>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</si>
  <si>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</si>
  <si>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</si>
  <si>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</si>
  <si>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</si>
  <si>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</si>
  <si>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</si>
  <si>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</si>
  <si>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</si>
  <si>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</si>
  <si>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</si>
  <si>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</si>
  <si>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</si>
  <si>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</si>
  <si>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</si>
  <si>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</si>
  <si>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</si>
  <si>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</si>
  <si>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</si>
  <si>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</si>
  <si>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</si>
  <si>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</si>
  <si>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</si>
  <si>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</si>
  <si>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</si>
  <si>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</si>
  <si>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</si>
  <si>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</si>
  <si>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</si>
  <si>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</si>
  <si>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</si>
  <si>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</si>
  <si>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</si>
  <si>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</si>
  <si>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</si>
  <si>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</si>
  <si>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</si>
  <si>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</si>
  <si>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</si>
  <si>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</si>
  <si>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</si>
  <si>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</si>
  <si>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</si>
  <si>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</si>
  <si>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</si>
  <si>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</si>
  <si>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</si>
  <si>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</si>
  <si>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</si>
  <si>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</si>
  <si>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</si>
  <si>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</si>
  <si>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</si>
  <si>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</si>
  <si>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</si>
  <si>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</si>
  <si>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</si>
  <si>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</si>
  <si>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</si>
  <si>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</si>
  <si>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</si>
  <si>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</si>
  <si>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</si>
  <si>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</si>
  <si>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</si>
  <si>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</si>
  <si>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</si>
  <si>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</si>
  <si>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</si>
  <si>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</si>
  <si>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</si>
  <si>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</si>
  <si>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</si>
  <si>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</si>
  <si>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</si>
  <si>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</si>
  <si>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</si>
  <si>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</si>
  <si>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</si>
  <si>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</si>
  <si>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</si>
  <si>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</si>
  <si>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</si>
  <si>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</si>
  <si>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</si>
  <si>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</si>
  <si>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</si>
  <si>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</si>
  <si>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</si>
  <si>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</si>
  <si>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</si>
  <si>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</si>
  <si>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</si>
  <si>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</si>
  <si>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</si>
  <si>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</si>
  <si>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</si>
  <si>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</si>
  <si>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</si>
  <si>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</si>
  <si>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</si>
  <si>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</si>
  <si>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</si>
  <si>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</si>
  <si>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</si>
  <si>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</si>
  <si>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</si>
  <si>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</si>
  <si>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</si>
  <si>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</si>
  <si>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</si>
  <si>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</si>
  <si>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</si>
  <si>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</si>
  <si>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</si>
  <si>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</si>
  <si>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</si>
  <si>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</si>
  <si>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</si>
  <si>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</si>
  <si>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</si>
  <si>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</si>
  <si>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</si>
  <si>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</si>
  <si>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</si>
  <si>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</si>
  <si>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</si>
  <si>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</si>
  <si>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</si>
  <si>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</si>
  <si>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</si>
  <si>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</si>
  <si>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</si>
  <si>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</si>
  <si>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</si>
  <si>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</si>
  <si>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</si>
  <si>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</si>
  <si>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</si>
  <si>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</si>
  <si>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</si>
  <si>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</si>
  <si>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</si>
  <si>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</si>
  <si>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</si>
  <si>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</si>
  <si>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</si>
  <si>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</si>
  <si>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</si>
  <si>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</si>
  <si>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</si>
  <si>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</si>
  <si>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</si>
  <si>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</si>
  <si>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</si>
  <si>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</si>
  <si>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</si>
  <si>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</si>
  <si>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</si>
  <si>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</si>
  <si>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</si>
  <si>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</si>
  <si>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</si>
  <si>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</si>
  <si>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</si>
  <si>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</si>
  <si>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</si>
  <si>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</si>
  <si>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</si>
  <si>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</si>
  <si>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</si>
  <si>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</si>
  <si>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</si>
  <si>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</si>
  <si>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</si>
  <si>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</si>
  <si>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</si>
  <si>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</si>
  <si>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</si>
  <si>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</si>
  <si>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</si>
  <si>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</si>
  <si>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</si>
  <si>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</si>
  <si>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</si>
  <si>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</si>
  <si>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t>
  </si>
  <si>
    <t>Attrition count</t>
  </si>
  <si>
    <t>Average age</t>
  </si>
  <si>
    <t>Active Employee</t>
  </si>
  <si>
    <t>Attrition Rate</t>
  </si>
  <si>
    <t>Average of Job Satisfaction</t>
  </si>
  <si>
    <t>Rating</t>
  </si>
  <si>
    <t>Balance</t>
  </si>
  <si>
    <t>Row Labels</t>
  </si>
  <si>
    <t>Grand Total</t>
  </si>
  <si>
    <t>Count of Employee Count</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</si>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</sst>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0" borderId="8" xfId="0" applyBorder="1"/>
    <xf numFmtId="164" fontId="0" fillId="0" borderId="9" xfId="0" applyNumberFormat="1" applyBorder="1"/>
    <xf numFmtId="164" fontId="0" fillId="0" borderId="0" xfId="0" applyNumberFormat="1"/>
    <xf numFmtId="164" fontId="1" fillId="0" borderId="0" xfId="0" applyNumberFormat="1" applyFont="1"/>
    <xf numFmtId="0" fontId="0" fillId="2" borderId="0" xfId="0" applyFill="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0" fillId="0" borderId="0" xfId="0" applyAlignment="1">
      <alignment horizontal="left"/>
    </xf>
    <xf numFmtId="9" fontId="0" fillId="0" borderId="0" xfId="1" applyFont="1"/>
    <xf numFmtId="0" fontId="0" fillId="0" borderId="10" xfId="0" applyBorder="1"/>
    <xf numFmtId="0" fontId="0" fillId="0" borderId="9" xfId="0" applyBorder="1"/>
    <xf numFmtId="10" fontId="0" fillId="0" borderId="8" xfId="0" applyNumberFormat="1" applyBorder="1"/>
    <xf numFmtId="10" fontId="0" fillId="0" borderId="10" xfId="0" applyNumberFormat="1" applyBorder="1"/>
    <xf numFmtId="10" fontId="0" fillId="0" borderId="9" xfId="0" applyNumberFormat="1" applyBorder="1"/>
    <xf numFmtId="0" fontId="0" fillId="0" borderId="3" xfId="0" applyBorder="1"/>
    <xf numFmtId="0" fontId="0" fillId="0" borderId="6" xfId="0" applyBorder="1"/>
    <xf numFmtId="0" fontId="0" fillId="0" borderId="4" xfId="0" applyBorder="1"/>
  </cellXfs>
  <cellStyles count="2">
    <cellStyle name="Normal" xfId="0" builtinId="0"/>
    <cellStyle name="Percent" xfId="1" builtinId="5"/>
  </cellStyles>
  <dxfs count="7">
    <dxf>
      <numFmt numFmtId="164" formatCode="0.0"/>
    </dxf>
    <dxf>
      <font>
        <b/>
        <i val="0"/>
        <name val="Calibri"/>
        <family val="2"/>
        <scheme val="minor"/>
      </font>
    </dxf>
    <dxf>
      <fill>
        <gradientFill degree="90">
          <stop position="0">
            <color rgb="FFF0D4FE"/>
          </stop>
          <stop position="1">
            <color rgb="FFFF33CC"/>
          </stop>
        </gradientFill>
      </fill>
    </dxf>
    <dxf>
      <font>
        <b/>
        <i val="0"/>
        <color theme="1"/>
        <name val="Calibri"/>
        <family val="2"/>
        <scheme val="minor"/>
      </font>
      <fill>
        <patternFill>
          <bgColor theme="5" tint="0.59996337778862885"/>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style" pivot="0" count="3" xr9:uid="{00000000-0011-0000-FFFF-FFFF00000000}">
      <tableStyleElement type="headerRow" dxfId="6"/>
      <tableStyleElement type="firstRowStripe" dxfId="5"/>
      <tableStyleElement type="secondRowStripe" dxfId="4"/>
    </tableStyle>
    <tableStyle name="Slicer Style 1" pivot="0" table="0" count="1" xr9:uid="{1D73D225-8E87-4CFF-8DD8-7C351E48712E}">
      <tableStyleElement type="wholeTable" dxfId="3"/>
    </tableStyle>
    <tableStyle name="Slicer Style 2" pivot="0" table="0" count="1" xr9:uid="{03A931CD-E1A8-4767-9C5F-50EFD9789F98}">
      <tableStyleElement type="wholeTable" dxfId="2"/>
    </tableStyle>
    <tableStyle name="Slicer Style 3" pivot="0" table="0" count="1" xr9:uid="{53C0AB09-33E2-46D2-8153-9E6030D2F38C}">
      <tableStyleElement type="wholeTable" dxfId="1"/>
    </tableStyle>
  </tableStyles>
  <colors>
    <mruColors>
      <color rgb="FFFFFFCC"/>
      <color rgb="FFCCFF66"/>
      <color rgb="FFF0D4FE"/>
      <color rgb="FFFF33CC"/>
      <color rgb="FFFCD6D6"/>
      <color rgb="FFFF9999"/>
      <color rgb="FFFF99CC"/>
      <color rgb="FF3E97E0"/>
      <color rgb="FFCC0000"/>
      <color rgb="FF9999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767-4CCB-A77C-77FE8B4A5BE8}"/>
            </c:ext>
          </c:extLst>
        </c:ser>
        <c:dLbls>
          <c:dLblPos val="outEnd"/>
          <c:showLegendKey val="0"/>
          <c:showVal val="1"/>
          <c:showCatName val="0"/>
          <c:showSerName val="0"/>
          <c:showPercent val="0"/>
          <c:showBubbleSize val="0"/>
        </c:dLbls>
        <c:gapWidth val="219"/>
        <c:overlap val="-27"/>
        <c:axId val="86821023"/>
        <c:axId val="86821503"/>
      </c:barChart>
      <c:catAx>
        <c:axId val="8682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1503"/>
        <c:crosses val="autoZero"/>
        <c:auto val="1"/>
        <c:lblAlgn val="ctr"/>
        <c:lblOffset val="100"/>
        <c:noMultiLvlLbl val="0"/>
      </c:catAx>
      <c:valAx>
        <c:axId val="86821503"/>
        <c:scaling>
          <c:orientation val="minMax"/>
        </c:scaling>
        <c:delete val="1"/>
        <c:axPos val="l"/>
        <c:numFmt formatCode="General" sourceLinked="1"/>
        <c:majorTickMark val="none"/>
        <c:minorTickMark val="none"/>
        <c:tickLblPos val="nextTo"/>
        <c:crossAx val="868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DE-49DE-A470-52EBFD8EB5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DE-49DE-A470-52EBFD8EB5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DE-49DE-A470-52EBFD8EB5EB}"/>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53B-4699-9E8F-1923907FAA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2DD-4A89-B445-C4B6B1A0BBA8}"/>
            </c:ext>
          </c:extLst>
        </c:ser>
        <c:dLbls>
          <c:dLblPos val="outEnd"/>
          <c:showLegendKey val="0"/>
          <c:showVal val="1"/>
          <c:showCatName val="0"/>
          <c:showSerName val="0"/>
          <c:showPercent val="0"/>
          <c:showBubbleSize val="0"/>
        </c:dLbls>
        <c:gapWidth val="182"/>
        <c:axId val="1732074175"/>
        <c:axId val="1732074655"/>
      </c:barChart>
      <c:catAx>
        <c:axId val="1732074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74655"/>
        <c:crosses val="autoZero"/>
        <c:auto val="1"/>
        <c:lblAlgn val="ctr"/>
        <c:lblOffset val="100"/>
        <c:noMultiLvlLbl val="0"/>
      </c:catAx>
      <c:valAx>
        <c:axId val="1732074655"/>
        <c:scaling>
          <c:orientation val="minMax"/>
        </c:scaling>
        <c:delete val="1"/>
        <c:axPos val="b"/>
        <c:numFmt formatCode="General" sourceLinked="1"/>
        <c:majorTickMark val="out"/>
        <c:minorTickMark val="none"/>
        <c:tickLblPos val="nextTo"/>
        <c:crossAx val="173207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CF-4DA8-8000-C7A20B8AA4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CF-4DA8-8000-C7A20B8AA411}"/>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9DC1-4F63-83B3-F7481DDE24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72563176895307"/>
          <c:y val="0.10859728506787331"/>
          <c:w val="0.63898916967509023"/>
          <c:h val="0.8009049773755656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FE-4E08-A5C2-6013BBE8A5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FE-4E08-A5C2-6013BBE8A5A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FAD-4FC1-A502-12D5B710A8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4022-4F13-A23F-E871D88781B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4022-4F13-A23F-E871D88781B4}"/>
            </c:ext>
          </c:extLst>
        </c:ser>
        <c:dLbls>
          <c:showLegendKey val="0"/>
          <c:showVal val="0"/>
          <c:showCatName val="0"/>
          <c:showSerName val="0"/>
          <c:showPercent val="0"/>
          <c:showBubbleSize val="0"/>
        </c:dLbls>
        <c:gapWidth val="0"/>
        <c:overlap val="100"/>
        <c:axId val="1245041983"/>
        <c:axId val="1245047263"/>
      </c:barChart>
      <c:catAx>
        <c:axId val="1245041983"/>
        <c:scaling>
          <c:orientation val="minMax"/>
        </c:scaling>
        <c:delete val="1"/>
        <c:axPos val="l"/>
        <c:majorTickMark val="out"/>
        <c:minorTickMark val="none"/>
        <c:tickLblPos val="nextTo"/>
        <c:crossAx val="1245047263"/>
        <c:crosses val="autoZero"/>
        <c:auto val="1"/>
        <c:lblAlgn val="ctr"/>
        <c:lblOffset val="100"/>
        <c:noMultiLvlLbl val="0"/>
      </c:catAx>
      <c:valAx>
        <c:axId val="1245047263"/>
        <c:scaling>
          <c:orientation val="minMax"/>
          <c:max val="4"/>
        </c:scaling>
        <c:delete val="1"/>
        <c:axPos val="b"/>
        <c:numFmt formatCode="0.0" sourceLinked="1"/>
        <c:majorTickMark val="out"/>
        <c:minorTickMark val="none"/>
        <c:tickLblPos val="nextTo"/>
        <c:crossAx val="124504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6519680723156"/>
          <c:y val="0.14210537505189083"/>
          <c:w val="0.52945881351126101"/>
          <c:h val="0.68736817488584012"/>
        </c:manualLayout>
      </c:layout>
      <c:doughnutChart>
        <c:varyColors val="1"/>
        <c:ser>
          <c:idx val="0"/>
          <c:order val="0"/>
          <c:dPt>
            <c:idx val="0"/>
            <c:bubble3D val="0"/>
            <c:spPr>
              <a:gradFill>
                <a:gsLst>
                  <a:gs pos="47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755A-4BFE-A11F-87316EB54A46}"/>
              </c:ext>
            </c:extLst>
          </c:dPt>
          <c:dPt>
            <c:idx val="1"/>
            <c:bubble3D val="0"/>
            <c:spPr>
              <a:noFill/>
              <a:ln w="19050">
                <a:noFill/>
              </a:ln>
              <a:effectLst/>
            </c:spPr>
            <c:extLst>
              <c:ext xmlns:c16="http://schemas.microsoft.com/office/drawing/2014/chart" uri="{C3380CC4-5D6E-409C-BE32-E72D297353CC}">
                <c16:uniqueId val="{00000003-755A-4BFE-A11F-87316EB54A46}"/>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755A-4BFE-A11F-87316EB54A4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FF0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C867-4F67-909B-77DA20B00987}"/>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C867-4F67-909B-77DA20B00987}"/>
            </c:ext>
          </c:extLst>
        </c:ser>
        <c:dLbls>
          <c:showLegendKey val="0"/>
          <c:showVal val="0"/>
          <c:showCatName val="0"/>
          <c:showSerName val="0"/>
          <c:showPercent val="0"/>
          <c:showBubbleSize val="0"/>
        </c:dLbls>
        <c:gapWidth val="0"/>
        <c:overlap val="100"/>
        <c:axId val="1245041983"/>
        <c:axId val="1245047263"/>
      </c:barChart>
      <c:catAx>
        <c:axId val="1245041983"/>
        <c:scaling>
          <c:orientation val="minMax"/>
        </c:scaling>
        <c:delete val="1"/>
        <c:axPos val="l"/>
        <c:majorTickMark val="out"/>
        <c:minorTickMark val="none"/>
        <c:tickLblPos val="nextTo"/>
        <c:crossAx val="1245047263"/>
        <c:crosses val="autoZero"/>
        <c:auto val="1"/>
        <c:lblAlgn val="ctr"/>
        <c:lblOffset val="100"/>
        <c:noMultiLvlLbl val="0"/>
      </c:catAx>
      <c:valAx>
        <c:axId val="1245047263"/>
        <c:scaling>
          <c:orientation val="minMax"/>
          <c:max val="4"/>
        </c:scaling>
        <c:delete val="1"/>
        <c:axPos val="b"/>
        <c:numFmt formatCode="0.0" sourceLinked="1"/>
        <c:majorTickMark val="out"/>
        <c:minorTickMark val="none"/>
        <c:tickLblPos val="nextTo"/>
        <c:crossAx val="124504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5875"/>
          <c:w val="0.8059722222222222"/>
          <c:h val="0.8059722222222222"/>
        </c:manualLayout>
      </c:layout>
      <c:doughnutChart>
        <c:varyColors val="1"/>
        <c:ser>
          <c:idx val="0"/>
          <c:order val="0"/>
          <c:spPr>
            <a:solidFill>
              <a:schemeClr val="bg1"/>
            </a:solidFill>
            <a:ln>
              <a:solidFill>
                <a:schemeClr val="bg1">
                  <a:lumMod val="85000"/>
                  <a:alpha val="90000"/>
                </a:schemeClr>
              </a:solidFill>
            </a:ln>
          </c:spPr>
          <c:dPt>
            <c:idx val="0"/>
            <c:bubble3D val="0"/>
            <c:spPr>
              <a:gradFill>
                <a:gsLst>
                  <a:gs pos="0">
                    <a:srgbClr val="FF33CC"/>
                  </a:gs>
                  <a:gs pos="74000">
                    <a:srgbClr val="F0D4FE"/>
                  </a:gs>
                  <a:gs pos="100000">
                    <a:srgbClr val="FF00FF"/>
                  </a:gs>
                  <a:gs pos="89000">
                    <a:srgbClr val="F9D3FF"/>
                  </a:gs>
                </a:gsLst>
                <a:lin ang="5400000" scaled="1"/>
              </a:gradFill>
              <a:ln w="19050">
                <a:solidFill>
                  <a:schemeClr val="bg1">
                    <a:lumMod val="85000"/>
                    <a:alpha val="90000"/>
                  </a:schemeClr>
                </a:solidFill>
              </a:ln>
              <a:effectLst/>
            </c:spPr>
            <c:extLst>
              <c:ext xmlns:c16="http://schemas.microsoft.com/office/drawing/2014/chart" uri="{C3380CC4-5D6E-409C-BE32-E72D297353CC}">
                <c16:uniqueId val="{00000001-8CCB-4240-A833-CDEAA099613C}"/>
              </c:ext>
            </c:extLst>
          </c:dPt>
          <c:dPt>
            <c:idx val="1"/>
            <c:bubble3D val="0"/>
            <c:spPr>
              <a:solidFill>
                <a:schemeClr val="bg1">
                  <a:lumMod val="85000"/>
                </a:schemeClr>
              </a:solidFill>
              <a:ln w="19050">
                <a:solidFill>
                  <a:schemeClr val="bg1">
                    <a:lumMod val="85000"/>
                    <a:alpha val="90000"/>
                  </a:schemeClr>
                </a:solidFill>
              </a:ln>
              <a:effectLst/>
            </c:spPr>
            <c:extLst>
              <c:ext xmlns:c16="http://schemas.microsoft.com/office/drawing/2014/chart" uri="{C3380CC4-5D6E-409C-BE32-E72D297353CC}">
                <c16:uniqueId val="{00000003-8CCB-4240-A833-CDEAA099613C}"/>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8CCB-4240-A833-CDEAA099613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02777777777777"/>
          <c:y val="0.19402777777777777"/>
          <c:w val="0.8059722222222222"/>
          <c:h val="0.8059722222222222"/>
        </c:manualLayout>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33CF-47FD-86C6-67E1A5C8CF44}"/>
              </c:ext>
            </c:extLst>
          </c:dPt>
          <c:dPt>
            <c:idx val="1"/>
            <c:bubble3D val="0"/>
            <c:spPr>
              <a:gradFill>
                <a:gsLst>
                  <a:gs pos="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33CF-47FD-86C6-67E1A5C8CF44}"/>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33CF-47FD-86C6-67E1A5C8CF4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100000">
                <a:srgbClr val="FCD6D6"/>
              </a:gs>
              <a:gs pos="57000">
                <a:srgbClr val="FFC000"/>
              </a:gs>
              <a:gs pos="100000">
                <a:srgbClr val="F9D3FF"/>
              </a:gs>
            </a:gsLst>
            <a:lin ang="0" scaled="0"/>
          </a:gradFill>
          <a:ln>
            <a:solidFill>
              <a:schemeClr val="bg1">
                <a:lumMod val="85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100000">
                <a:srgbClr val="FCD6D6"/>
              </a:gs>
              <a:gs pos="57000">
                <a:srgbClr val="FFC000"/>
              </a:gs>
              <a:gs pos="100000">
                <a:srgbClr val="F9D3FF"/>
              </a:gs>
            </a:gsLst>
            <a:lin ang="0" scaled="0"/>
          </a:gradFill>
          <a:ln>
            <a:solidFill>
              <a:schemeClr val="bg1">
                <a:lumMod val="85000"/>
                <a:alpha val="97000"/>
              </a:schemeClr>
            </a:solidFill>
          </a:ln>
          <a:effectLst/>
        </c:spPr>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C00000"/>
                </a:gs>
                <a:gs pos="100000">
                  <a:srgbClr val="FCD6D6"/>
                </a:gs>
                <a:gs pos="57000">
                  <a:srgbClr val="FFC000"/>
                </a:gs>
                <a:gs pos="100000">
                  <a:srgbClr val="F9D3FF"/>
                </a:gs>
              </a:gsLst>
              <a:lin ang="0" scaled="0"/>
            </a:gradFill>
            <a:ln>
              <a:solidFill>
                <a:schemeClr val="bg1">
                  <a:lumMod val="85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3B3-4247-87DD-21F2D415FC9F}"/>
            </c:ext>
          </c:extLst>
        </c:ser>
        <c:dLbls>
          <c:dLblPos val="outEnd"/>
          <c:showLegendKey val="0"/>
          <c:showVal val="1"/>
          <c:showCatName val="0"/>
          <c:showSerName val="0"/>
          <c:showPercent val="0"/>
          <c:showBubbleSize val="0"/>
        </c:dLbls>
        <c:gapWidth val="75"/>
        <c:axId val="1732074175"/>
        <c:axId val="1732074655"/>
      </c:barChart>
      <c:catAx>
        <c:axId val="1732074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2074655"/>
        <c:crosses val="autoZero"/>
        <c:auto val="1"/>
        <c:lblAlgn val="ctr"/>
        <c:lblOffset val="100"/>
        <c:noMultiLvlLbl val="0"/>
      </c:catAx>
      <c:valAx>
        <c:axId val="1732074655"/>
        <c:scaling>
          <c:orientation val="minMax"/>
        </c:scaling>
        <c:delete val="1"/>
        <c:axPos val="b"/>
        <c:numFmt formatCode="General" sourceLinked="1"/>
        <c:majorTickMark val="out"/>
        <c:minorTickMark val="none"/>
        <c:tickLblPos val="nextTo"/>
        <c:crossAx val="173207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002060"/>
              </a:gs>
              <a:gs pos="74000">
                <a:srgbClr val="92D050"/>
              </a:gs>
              <a:gs pos="83000">
                <a:schemeClr val="accent1">
                  <a:lumMod val="45000"/>
                  <a:lumOff val="55000"/>
                </a:schemeClr>
              </a:gs>
              <a:gs pos="100000">
                <a:schemeClr val="accent1">
                  <a:lumMod val="30000"/>
                  <a:lumOff val="70000"/>
                </a:schemeClr>
              </a:gs>
            </a:gsLst>
            <a:lin ang="5400000" scaled="1"/>
          </a:gradFill>
          <a:ln w="12700">
            <a:solidFill>
              <a:schemeClr val="lt1"/>
            </a:solidFill>
          </a:ln>
          <a:effectLst/>
        </c:spPr>
        <c:dLbl>
          <c:idx val="0"/>
          <c:layout>
            <c:manualLayout>
              <c:x val="-5.2678437337829863E-2"/>
              <c:y val="0.153649207355056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74000">
                <a:srgbClr val="C00000"/>
              </a:gs>
              <a:gs pos="83000">
                <a:srgbClr val="CC0000"/>
              </a:gs>
              <a:gs pos="100000">
                <a:schemeClr val="accent1">
                  <a:lumMod val="30000"/>
                  <a:lumOff val="70000"/>
                </a:schemeClr>
              </a:gs>
            </a:gsLst>
            <a:lin ang="5400000" scaled="1"/>
          </a:gradFill>
          <a:ln w="12700">
            <a:solidFill>
              <a:schemeClr val="lt1"/>
            </a:solidFill>
          </a:ln>
          <a:effectLst/>
        </c:spPr>
      </c:pivotFmt>
      <c:pivotFmt>
        <c:idx val="8"/>
        <c:spPr>
          <a:gradFill>
            <a:gsLst>
              <a:gs pos="0">
                <a:srgbClr val="F0D4FE"/>
              </a:gs>
              <a:gs pos="0">
                <a:srgbClr val="FF33CC"/>
              </a:gs>
              <a:gs pos="83000">
                <a:srgbClr val="FFFF00"/>
              </a:gs>
              <a:gs pos="100000">
                <a:schemeClr val="accent1">
                  <a:lumMod val="30000"/>
                  <a:lumOff val="70000"/>
                </a:schemeClr>
              </a:gs>
            </a:gsLst>
            <a:lin ang="5400000" scaled="1"/>
          </a:gradFill>
          <a:ln w="12700">
            <a:solidFill>
              <a:schemeClr val="lt1"/>
            </a:solidFill>
          </a:ln>
          <a:effectLst/>
        </c:spPr>
      </c:pivotFmt>
    </c:pivotFmts>
    <c:plotArea>
      <c:layout/>
      <c:pieChart>
        <c:varyColors val="1"/>
        <c:ser>
          <c:idx val="0"/>
          <c:order val="0"/>
          <c:tx>
            <c:strRef>
              <c:f>'Dept wise attrition'!$B$3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spPr>
          <c:dPt>
            <c:idx val="0"/>
            <c:bubble3D val="0"/>
            <c:spPr>
              <a:gradFill>
                <a:gsLst>
                  <a:gs pos="0">
                    <a:srgbClr val="002060"/>
                  </a:gs>
                  <a:gs pos="74000">
                    <a:srgbClr val="92D050"/>
                  </a:gs>
                  <a:gs pos="83000">
                    <a:schemeClr val="accent1">
                      <a:lumMod val="45000"/>
                      <a:lumOff val="55000"/>
                    </a:schemeClr>
                  </a:gs>
                  <a:gs pos="100000">
                    <a:schemeClr val="accent1">
                      <a:lumMod val="30000"/>
                      <a:lumOff val="70000"/>
                    </a:schemeClr>
                  </a:gs>
                </a:gsLst>
                <a:lin ang="5400000" scaled="1"/>
              </a:gradFill>
              <a:ln w="12700">
                <a:solidFill>
                  <a:schemeClr val="lt1"/>
                </a:solidFill>
              </a:ln>
              <a:effectLst/>
            </c:spPr>
            <c:extLst>
              <c:ext xmlns:c16="http://schemas.microsoft.com/office/drawing/2014/chart" uri="{C3380CC4-5D6E-409C-BE32-E72D297353CC}">
                <c16:uniqueId val="{00000001-53E4-426D-9C6D-B2F46979F065}"/>
              </c:ext>
            </c:extLst>
          </c:dPt>
          <c:dPt>
            <c:idx val="1"/>
            <c:bubble3D val="0"/>
            <c:spPr>
              <a:gradFill>
                <a:gsLst>
                  <a:gs pos="0">
                    <a:schemeClr val="accent1">
                      <a:lumMod val="5000"/>
                      <a:lumOff val="95000"/>
                    </a:schemeClr>
                  </a:gs>
                  <a:gs pos="74000">
                    <a:srgbClr val="C00000"/>
                  </a:gs>
                  <a:gs pos="83000">
                    <a:srgbClr val="CC0000"/>
                  </a:gs>
                  <a:gs pos="100000">
                    <a:schemeClr val="accent1">
                      <a:lumMod val="30000"/>
                      <a:lumOff val="70000"/>
                    </a:schemeClr>
                  </a:gs>
                </a:gsLst>
                <a:lin ang="5400000" scaled="1"/>
              </a:gradFill>
              <a:ln w="12700">
                <a:solidFill>
                  <a:schemeClr val="lt1"/>
                </a:solidFill>
              </a:ln>
              <a:effectLst/>
            </c:spPr>
            <c:extLst>
              <c:ext xmlns:c16="http://schemas.microsoft.com/office/drawing/2014/chart" uri="{C3380CC4-5D6E-409C-BE32-E72D297353CC}">
                <c16:uniqueId val="{00000003-53E4-426D-9C6D-B2F46979F065}"/>
              </c:ext>
            </c:extLst>
          </c:dPt>
          <c:dPt>
            <c:idx val="2"/>
            <c:bubble3D val="0"/>
            <c:spPr>
              <a:gradFill>
                <a:gsLst>
                  <a:gs pos="0">
                    <a:srgbClr val="F0D4FE"/>
                  </a:gs>
                  <a:gs pos="0">
                    <a:srgbClr val="FF33CC"/>
                  </a:gs>
                  <a:gs pos="83000">
                    <a:srgbClr val="FFFF00"/>
                  </a:gs>
                  <a:gs pos="100000">
                    <a:schemeClr val="accent1">
                      <a:lumMod val="30000"/>
                      <a:lumOff val="70000"/>
                    </a:schemeClr>
                  </a:gs>
                </a:gsLst>
                <a:lin ang="5400000" scaled="1"/>
              </a:gradFill>
              <a:ln w="12700">
                <a:solidFill>
                  <a:schemeClr val="lt1"/>
                </a:solidFill>
              </a:ln>
              <a:effectLst/>
            </c:spPr>
            <c:extLst>
              <c:ext xmlns:c16="http://schemas.microsoft.com/office/drawing/2014/chart" uri="{C3380CC4-5D6E-409C-BE32-E72D297353CC}">
                <c16:uniqueId val="{00000005-53E4-426D-9C6D-B2F46979F065}"/>
              </c:ext>
            </c:extLst>
          </c:dPt>
          <c:dLbls>
            <c:dLbl>
              <c:idx val="0"/>
              <c:layout>
                <c:manualLayout>
                  <c:x val="-5.2678437337829863E-2"/>
                  <c:y val="0.1536492073550562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E4-426D-9C6D-B2F46979F0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3E4-426D-9C6D-B2F46979F0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E97E0"/>
              </a:gs>
              <a:gs pos="74000">
                <a:schemeClr val="tx1">
                  <a:lumMod val="95000"/>
                  <a:lumOff val="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77248787610157E-2"/>
          <c:y val="4.9810532784087022E-2"/>
          <c:w val="0.92637795617933738"/>
          <c:h val="0.81631268603755136"/>
        </c:manualLayout>
      </c:layout>
      <c:barChart>
        <c:barDir val="col"/>
        <c:grouping val="clustered"/>
        <c:varyColors val="0"/>
        <c:ser>
          <c:idx val="0"/>
          <c:order val="0"/>
          <c:tx>
            <c:strRef>
              <c:f>'Attrition by Age group'!$B$3</c:f>
              <c:strCache>
                <c:ptCount val="1"/>
                <c:pt idx="0">
                  <c:v>Total</c:v>
                </c:pt>
              </c:strCache>
            </c:strRef>
          </c:tx>
          <c:spPr>
            <a:gradFill>
              <a:gsLst>
                <a:gs pos="0">
                  <a:srgbClr val="3E97E0"/>
                </a:gs>
                <a:gs pos="74000">
                  <a:schemeClr val="tx1">
                    <a:lumMod val="95000"/>
                    <a:lumOff val="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E72-4306-B8BF-6CAE6ADF7947}"/>
            </c:ext>
          </c:extLst>
        </c:ser>
        <c:dLbls>
          <c:dLblPos val="outEnd"/>
          <c:showLegendKey val="0"/>
          <c:showVal val="1"/>
          <c:showCatName val="0"/>
          <c:showSerName val="0"/>
          <c:showPercent val="0"/>
          <c:showBubbleSize val="0"/>
        </c:dLbls>
        <c:gapWidth val="219"/>
        <c:overlap val="-27"/>
        <c:axId val="86821023"/>
        <c:axId val="86821503"/>
      </c:barChart>
      <c:catAx>
        <c:axId val="8682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6821503"/>
        <c:crosses val="autoZero"/>
        <c:auto val="1"/>
        <c:lblAlgn val="ctr"/>
        <c:lblOffset val="100"/>
        <c:noMultiLvlLbl val="0"/>
      </c:catAx>
      <c:valAx>
        <c:axId val="86821503"/>
        <c:scaling>
          <c:orientation val="minMax"/>
        </c:scaling>
        <c:delete val="1"/>
        <c:axPos val="l"/>
        <c:numFmt formatCode="General" sourceLinked="1"/>
        <c:majorTickMark val="none"/>
        <c:minorTickMark val="none"/>
        <c:tickLblPos val="nextTo"/>
        <c:crossAx val="868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52EE849-D1D5-4F46-9395-5749361E8A7A}">
          <cx:tx>
            <cx:txData>
              <cx:f>_xlchart.v2.1</cx:f>
              <cx:v>Attrition</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7910616C-11B4-41B6-839D-48BF854F1E44}">
          <cx:tx>
            <cx:txData>
              <cx:f>_xlchart.v1.4</cx:f>
              <cx:v>Attrition</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7910616C-11B4-41B6-839D-48BF854F1E44}">
          <cx:tx>
            <cx:txData>
              <cx:f>_xlchart.v1.10</cx:f>
              <cx:v>Attrition</cx:v>
            </cx:txData>
          </cx:tx>
          <cx:dataPt idx="2">
            <cx:spPr>
              <a:solidFill>
                <a:srgbClr val="70AD47">
                  <a:lumMod val="40000"/>
                  <a:lumOff val="60000"/>
                </a:srgbClr>
              </a:solidFill>
            </cx:spPr>
          </cx:dataPt>
          <cx:dataPt idx="4">
            <cx:spPr>
              <a:solidFill>
                <a:srgbClr val="9999FF"/>
              </a:solidFill>
            </cx:spPr>
          </cx:dataPt>
          <cx:dataPt idx="6">
            <cx:spPr>
              <a:solidFill>
                <a:srgbClr val="FF99CC"/>
              </a:solidFill>
            </cx:spPr>
          </cx:dataPt>
          <cx:dataPt idx="7">
            <cx:spPr>
              <a:solidFill>
                <a:srgbClr val="FFC000">
                  <a:lumMod val="20000"/>
                  <a:lumOff val="80000"/>
                </a:srgbClr>
              </a:solidFill>
            </cx:spPr>
          </cx:dataPt>
          <cx:dataPt idx="8">
            <cx:spPr>
              <a:solidFill>
                <a:srgbClr val="ED7D31">
                  <a:lumMod val="60000"/>
                  <a:lumOff val="40000"/>
                </a:srgbClr>
              </a:solidFill>
            </cx:spPr>
          </cx:dataPt>
          <cx:dataLabels pos="in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C52EE849-D1D5-4F46-9395-5749361E8A7A}">
          <cx:tx>
            <cx:txData>
              <cx:f>_xlchart.v2.7</cx:f>
              <cx:v>Attrition</cx:v>
            </cx:txData>
          </cx:tx>
          <cx:spPr>
            <a:gradFill>
              <a:gsLst>
                <a:gs pos="0">
                  <a:srgbClr val="FF99CC"/>
                </a:gs>
                <a:gs pos="74000">
                  <a:srgbClr val="FCD6D6"/>
                </a:gs>
                <a:gs pos="83000">
                  <a:schemeClr val="accent1">
                    <a:lumMod val="45000"/>
                    <a:lumOff val="55000"/>
                  </a:schemeClr>
                </a:gs>
                <a:gs pos="100000">
                  <a:schemeClr val="accent1">
                    <a:lumMod val="30000"/>
                    <a:lumOff val="70000"/>
                  </a:schemeClr>
                </a:gs>
              </a:gsLst>
              <a:lin ang="5400000" scaled="1"/>
            </a:gra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88900</xdr:colOff>
      <xdr:row>6</xdr:row>
      <xdr:rowOff>146050</xdr:rowOff>
    </xdr:from>
    <xdr:to>
      <xdr:col>5</xdr:col>
      <xdr:colOff>647700</xdr:colOff>
      <xdr:row>16</xdr:row>
      <xdr:rowOff>139700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95BDE9A-DC23-34AC-0DEF-819453997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71700" y="1327150"/>
              <a:ext cx="2819400" cy="1962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82550</xdr:colOff>
      <xdr:row>3</xdr:row>
      <xdr:rowOff>158750</xdr:rowOff>
    </xdr:from>
    <xdr:to>
      <xdr:col>11</xdr:col>
      <xdr:colOff>590550</xdr:colOff>
      <xdr:row>17</xdr:row>
      <xdr:rowOff>117469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99CE74-A7A8-DC66-CCC8-A1BCB1F31E5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67550" y="7493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101600</xdr:colOff>
      <xdr:row>3</xdr:row>
      <xdr:rowOff>133350</xdr:rowOff>
    </xdr:from>
    <xdr:to>
      <xdr:col>8</xdr:col>
      <xdr:colOff>609600</xdr:colOff>
      <xdr:row>17</xdr:row>
      <xdr:rowOff>92069</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DBF1BE00-8942-F20E-21C0-9D0F88C9309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105400" y="7239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3</xdr:row>
      <xdr:rowOff>101600</xdr:rowOff>
    </xdr:from>
    <xdr:to>
      <xdr:col>9</xdr:col>
      <xdr:colOff>596900</xdr:colOff>
      <xdr:row>17</xdr:row>
      <xdr:rowOff>88900</xdr:rowOff>
    </xdr:to>
    <xdr:graphicFrame macro="">
      <xdr:nvGraphicFramePr>
        <xdr:cNvPr id="4" name="Chart 3">
          <a:extLst>
            <a:ext uri="{FF2B5EF4-FFF2-40B4-BE49-F238E27FC236}">
              <a16:creationId xmlns:a16="http://schemas.microsoft.com/office/drawing/2014/main" id="{215D2A54-E852-ECF2-EF6E-978FDB10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203199</xdr:colOff>
      <xdr:row>5</xdr:row>
      <xdr:rowOff>146050</xdr:rowOff>
    </xdr:from>
    <xdr:to>
      <xdr:col>7</xdr:col>
      <xdr:colOff>581024</xdr:colOff>
      <xdr:row>16</xdr:row>
      <xdr:rowOff>146050</xdr:rowOff>
    </xdr:to>
    <xdr:graphicFrame macro="">
      <xdr:nvGraphicFramePr>
        <xdr:cNvPr id="2" name="Chart 1">
          <a:extLst>
            <a:ext uri="{FF2B5EF4-FFF2-40B4-BE49-F238E27FC236}">
              <a16:creationId xmlns:a16="http://schemas.microsoft.com/office/drawing/2014/main" id="{4D85E147-3EE4-7648-B1B1-BF7C704D2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2</xdr:row>
      <xdr:rowOff>158750</xdr:rowOff>
    </xdr:from>
    <xdr:to>
      <xdr:col>7</xdr:col>
      <xdr:colOff>342900</xdr:colOff>
      <xdr:row>16</xdr:row>
      <xdr:rowOff>146050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75050" y="552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123825</xdr:colOff>
      <xdr:row>2</xdr:row>
      <xdr:rowOff>76200</xdr:rowOff>
    </xdr:from>
    <xdr:to>
      <xdr:col>11</xdr:col>
      <xdr:colOff>73025</xdr:colOff>
      <xdr:row>16</xdr:row>
      <xdr:rowOff>63500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50801</xdr:rowOff>
    </xdr:from>
    <xdr:to>
      <xdr:col>9</xdr:col>
      <xdr:colOff>508000</xdr:colOff>
      <xdr:row>8</xdr:row>
      <xdr:rowOff>152401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899150" y="64135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1</xdr:row>
      <xdr:rowOff>120650</xdr:rowOff>
    </xdr:from>
    <xdr:to>
      <xdr:col>13</xdr:col>
      <xdr:colOff>584200</xdr:colOff>
      <xdr:row>15</xdr:row>
      <xdr:rowOff>79369</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616950" y="317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6</xdr:row>
      <xdr:rowOff>50800</xdr:rowOff>
    </xdr:from>
    <xdr:to>
      <xdr:col>6</xdr:col>
      <xdr:colOff>234950</xdr:colOff>
      <xdr:row>12</xdr:row>
      <xdr:rowOff>44450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368300</xdr:colOff>
      <xdr:row>0</xdr:row>
      <xdr:rowOff>63500</xdr:rowOff>
    </xdr:from>
    <xdr:to>
      <xdr:col>6</xdr:col>
      <xdr:colOff>146050</xdr:colOff>
      <xdr:row>7</xdr:row>
      <xdr:rowOff>88900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501650</xdr:colOff>
      <xdr:row>2</xdr:row>
      <xdr:rowOff>76201</xdr:rowOff>
    </xdr:from>
    <xdr:to>
      <xdr:col>8</xdr:col>
      <xdr:colOff>355600</xdr:colOff>
      <xdr:row>7</xdr:row>
      <xdr:rowOff>127001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56250" y="469901"/>
              <a:ext cx="1174750" cy="103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590550</xdr:colOff>
      <xdr:row>12</xdr:row>
      <xdr:rowOff>177800</xdr:rowOff>
    </xdr:from>
    <xdr:to>
      <xdr:col>7</xdr:col>
      <xdr:colOff>69850</xdr:colOff>
      <xdr:row>16</xdr:row>
      <xdr:rowOff>146050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76200</xdr:colOff>
      <xdr:row>4</xdr:row>
      <xdr:rowOff>165101</xdr:rowOff>
    </xdr:from>
    <xdr:to>
      <xdr:col>11</xdr:col>
      <xdr:colOff>584200</xdr:colOff>
      <xdr:row>15</xdr:row>
      <xdr:rowOff>152401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112000" y="952501"/>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298450</xdr:colOff>
      <xdr:row>2</xdr:row>
      <xdr:rowOff>1</xdr:rowOff>
    </xdr:from>
    <xdr:to>
      <xdr:col>8</xdr:col>
      <xdr:colOff>0</xdr:colOff>
      <xdr:row>7</xdr:row>
      <xdr:rowOff>82551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24750" y="393701"/>
              <a:ext cx="102235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366382</xdr:colOff>
      <xdr:row>1</xdr:row>
      <xdr:rowOff>95251</xdr:rowOff>
    </xdr:from>
    <xdr:ext cx="14754225" cy="7439025"/>
    <xdr:grpSp>
      <xdr:nvGrpSpPr>
        <xdr:cNvPr id="2" name="Shape 2">
          <a:extLst>
            <a:ext uri="{FF2B5EF4-FFF2-40B4-BE49-F238E27FC236}">
              <a16:creationId xmlns:a16="http://schemas.microsoft.com/office/drawing/2014/main" id="{00000000-0008-0000-0600-000002000000}"/>
            </a:ext>
          </a:extLst>
        </xdr:cNvPr>
        <xdr:cNvGrpSpPr/>
      </xdr:nvGrpSpPr>
      <xdr:grpSpPr>
        <a:xfrm>
          <a:off x="1687182" y="285751"/>
          <a:ext cx="14754225" cy="7439025"/>
          <a:chOff x="0" y="60488"/>
          <a:chExt cx="10692000" cy="7439025"/>
        </a:xfrm>
      </xdr:grpSpPr>
      <xdr:grpSp>
        <xdr:nvGrpSpPr>
          <xdr:cNvPr id="29" name="Shape 29">
            <a:extLst>
              <a:ext uri="{FF2B5EF4-FFF2-40B4-BE49-F238E27FC236}">
                <a16:creationId xmlns:a16="http://schemas.microsoft.com/office/drawing/2014/main" id="{00000000-0008-0000-06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6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6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6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600-000021000000}"/>
                </a:ext>
              </a:extLst>
            </xdr:cNvPr>
            <xdr:cNvSpPr/>
          </xdr:nvSpPr>
          <xdr:spPr>
            <a:xfrm>
              <a:off x="5828976"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6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6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6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600-000025000000}"/>
                  </a:ext>
                </a:extLst>
              </xdr:cNvPr>
              <xdr:cNvSpPr/>
            </xdr:nvSpPr>
            <xdr:spPr>
              <a:xfrm>
                <a:off x="7237511"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6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6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6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6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6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6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6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6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6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6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6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6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6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6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6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6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40318</xdr:colOff>
      <xdr:row>7</xdr:row>
      <xdr:rowOff>20159</xdr:rowOff>
    </xdr:from>
    <xdr:to>
      <xdr:col>6</xdr:col>
      <xdr:colOff>282223</xdr:colOff>
      <xdr:row>8</xdr:row>
      <xdr:rowOff>151192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005794" y="1360715"/>
          <a:ext cx="2207381" cy="3225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Aharoni" panose="02010803020104030203" pitchFamily="2" charset="-79"/>
              <a:cs typeface="Aharoni" panose="02010803020104030203" pitchFamily="2" charset="-79"/>
            </a:rPr>
            <a:t>TOTAL EMPLOYEE</a:t>
          </a:r>
        </a:p>
      </xdr:txBody>
    </xdr:sp>
    <xdr:clientData/>
  </xdr:twoCellAnchor>
  <xdr:twoCellAnchor>
    <xdr:from>
      <xdr:col>2</xdr:col>
      <xdr:colOff>635001</xdr:colOff>
      <xdr:row>9</xdr:row>
      <xdr:rowOff>0</xdr:rowOff>
    </xdr:from>
    <xdr:to>
      <xdr:col>6</xdr:col>
      <xdr:colOff>393096</xdr:colOff>
      <xdr:row>11</xdr:row>
      <xdr:rowOff>10079</xdr:rowOff>
    </xdr:to>
    <xdr:sp macro="" textlink="KPI!A8">
      <xdr:nvSpPr>
        <xdr:cNvPr id="5" name="TextBox 4">
          <a:extLst>
            <a:ext uri="{FF2B5EF4-FFF2-40B4-BE49-F238E27FC236}">
              <a16:creationId xmlns:a16="http://schemas.microsoft.com/office/drawing/2014/main" id="{00000000-0008-0000-0600-000005000000}"/>
            </a:ext>
          </a:extLst>
        </xdr:cNvPr>
        <xdr:cNvSpPr txBox="1"/>
      </xdr:nvSpPr>
      <xdr:spPr>
        <a:xfrm>
          <a:off x="1945318" y="1723571"/>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868577-A3B4-4420-ADD1-8B0C9E3D0462}" type="TxLink">
            <a:rPr lang="en-US" sz="3200" b="0" i="0" u="none" strike="noStrike">
              <a:solidFill>
                <a:srgbClr val="C00000"/>
              </a:solidFill>
              <a:latin typeface="Aharoni" panose="02010803020104030203" pitchFamily="2" charset="-79"/>
              <a:ea typeface="Calibri"/>
              <a:cs typeface="Aharoni" panose="02010803020104030203" pitchFamily="2" charset="-79"/>
            </a:rPr>
            <a:pPr algn="ctr"/>
            <a:t>1470</a:t>
          </a:fld>
          <a:endParaRPr lang="en-IN" sz="3200">
            <a:solidFill>
              <a:srgbClr val="C00000"/>
            </a:solidFill>
            <a:latin typeface="Aharoni" panose="02010803020104030203" pitchFamily="2" charset="-79"/>
            <a:cs typeface="Aharoni" panose="02010803020104030203" pitchFamily="2" charset="-79"/>
          </a:endParaRPr>
        </a:p>
      </xdr:txBody>
    </xdr:sp>
    <xdr:clientData/>
  </xdr:twoCellAnchor>
  <xdr:twoCellAnchor>
    <xdr:from>
      <xdr:col>7</xdr:col>
      <xdr:colOff>352778</xdr:colOff>
      <xdr:row>6</xdr:row>
      <xdr:rowOff>181428</xdr:rowOff>
    </xdr:from>
    <xdr:to>
      <xdr:col>10</xdr:col>
      <xdr:colOff>594684</xdr:colOff>
      <xdr:row>8</xdr:row>
      <xdr:rowOff>120954</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4938889" y="1330476"/>
          <a:ext cx="2207382" cy="322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a:t>
          </a:r>
        </a:p>
      </xdr:txBody>
    </xdr:sp>
    <xdr:clientData/>
  </xdr:twoCellAnchor>
  <xdr:twoCellAnchor>
    <xdr:from>
      <xdr:col>7</xdr:col>
      <xdr:colOff>241906</xdr:colOff>
      <xdr:row>8</xdr:row>
      <xdr:rowOff>171349</xdr:rowOff>
    </xdr:from>
    <xdr:to>
      <xdr:col>11</xdr:col>
      <xdr:colOff>1</xdr:colOff>
      <xdr:row>10</xdr:row>
      <xdr:rowOff>181428</xdr:rowOff>
    </xdr:to>
    <xdr:sp macro="" textlink="KPI!B8">
      <xdr:nvSpPr>
        <xdr:cNvPr id="8" name="TextBox 7">
          <a:extLst>
            <a:ext uri="{FF2B5EF4-FFF2-40B4-BE49-F238E27FC236}">
              <a16:creationId xmlns:a16="http://schemas.microsoft.com/office/drawing/2014/main" id="{00000000-0008-0000-0600-000008000000}"/>
            </a:ext>
          </a:extLst>
        </xdr:cNvPr>
        <xdr:cNvSpPr txBox="1"/>
      </xdr:nvSpPr>
      <xdr:spPr>
        <a:xfrm>
          <a:off x="4828017" y="1703412"/>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8DBB0B-F31E-48CE-90FB-CC7EEF2056A9}" type="TxLink">
            <a:rPr lang="en-US" sz="2800" b="0" i="0" u="none" strike="noStrike">
              <a:solidFill>
                <a:srgbClr val="000000"/>
              </a:solidFill>
              <a:latin typeface="Aharoni" panose="02010803020104030203" pitchFamily="2" charset="-79"/>
              <a:ea typeface="Calibri"/>
              <a:cs typeface="Aharoni" panose="02010803020104030203" pitchFamily="2" charset="-79"/>
            </a:rPr>
            <a:pPr algn="ctr"/>
            <a:t>237</a:t>
          </a:fld>
          <a:endParaRPr lang="en-IN" sz="2800">
            <a:latin typeface="Aharoni" panose="02010803020104030203" pitchFamily="2" charset="-79"/>
            <a:cs typeface="Aharoni" panose="02010803020104030203" pitchFamily="2" charset="-79"/>
          </a:endParaRPr>
        </a:p>
      </xdr:txBody>
    </xdr:sp>
    <xdr:clientData/>
  </xdr:twoCellAnchor>
  <xdr:twoCellAnchor>
    <xdr:from>
      <xdr:col>7</xdr:col>
      <xdr:colOff>352778</xdr:colOff>
      <xdr:row>6</xdr:row>
      <xdr:rowOff>181428</xdr:rowOff>
    </xdr:from>
    <xdr:to>
      <xdr:col>10</xdr:col>
      <xdr:colOff>594684</xdr:colOff>
      <xdr:row>8</xdr:row>
      <xdr:rowOff>120954</xdr:rowOff>
    </xdr:to>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4938889" y="1330476"/>
          <a:ext cx="2207382" cy="32254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a:t>
          </a:r>
        </a:p>
      </xdr:txBody>
    </xdr:sp>
    <xdr:clientData/>
  </xdr:twoCellAnchor>
  <xdr:twoCellAnchor>
    <xdr:from>
      <xdr:col>7</xdr:col>
      <xdr:colOff>241906</xdr:colOff>
      <xdr:row>8</xdr:row>
      <xdr:rowOff>171349</xdr:rowOff>
    </xdr:from>
    <xdr:to>
      <xdr:col>11</xdr:col>
      <xdr:colOff>1</xdr:colOff>
      <xdr:row>10</xdr:row>
      <xdr:rowOff>181428</xdr:rowOff>
    </xdr:to>
    <xdr:sp macro="" textlink="KPI!B8">
      <xdr:nvSpPr>
        <xdr:cNvPr id="12" name="TextBox 11">
          <a:extLst>
            <a:ext uri="{FF2B5EF4-FFF2-40B4-BE49-F238E27FC236}">
              <a16:creationId xmlns:a16="http://schemas.microsoft.com/office/drawing/2014/main" id="{00000000-0008-0000-0600-00000C000000}"/>
            </a:ext>
          </a:extLst>
        </xdr:cNvPr>
        <xdr:cNvSpPr txBox="1"/>
      </xdr:nvSpPr>
      <xdr:spPr>
        <a:xfrm>
          <a:off x="4828017" y="1703412"/>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8DBB0B-F31E-48CE-90FB-CC7EEF2056A9}" type="TxLink">
            <a:rPr lang="en-US" sz="2800" b="0" i="0" u="none" strike="noStrike">
              <a:solidFill>
                <a:srgbClr val="C00000"/>
              </a:solidFill>
              <a:latin typeface="Aharoni" panose="02010803020104030203" pitchFamily="2" charset="-79"/>
              <a:ea typeface="Calibri"/>
              <a:cs typeface="Aharoni" panose="02010803020104030203" pitchFamily="2" charset="-79"/>
            </a:rPr>
            <a:pPr algn="ctr"/>
            <a:t>237</a:t>
          </a:fld>
          <a:endParaRPr lang="en-IN" sz="2800">
            <a:solidFill>
              <a:srgbClr val="C00000"/>
            </a:solidFill>
            <a:latin typeface="Aharoni" panose="02010803020104030203" pitchFamily="2" charset="-79"/>
            <a:cs typeface="Aharoni" panose="02010803020104030203" pitchFamily="2" charset="-79"/>
          </a:endParaRPr>
        </a:p>
      </xdr:txBody>
    </xdr:sp>
    <xdr:clientData/>
  </xdr:twoCellAnchor>
  <xdr:twoCellAnchor>
    <xdr:from>
      <xdr:col>16</xdr:col>
      <xdr:colOff>362858</xdr:colOff>
      <xdr:row>6</xdr:row>
      <xdr:rowOff>181427</xdr:rowOff>
    </xdr:from>
    <xdr:to>
      <xdr:col>19</xdr:col>
      <xdr:colOff>604764</xdr:colOff>
      <xdr:row>8</xdr:row>
      <xdr:rowOff>120954</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10845398" y="1330475"/>
          <a:ext cx="2207382" cy="322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 RATE</a:t>
          </a:r>
        </a:p>
      </xdr:txBody>
    </xdr:sp>
    <xdr:clientData/>
  </xdr:twoCellAnchor>
  <xdr:twoCellAnchor>
    <xdr:from>
      <xdr:col>16</xdr:col>
      <xdr:colOff>262064</xdr:colOff>
      <xdr:row>9</xdr:row>
      <xdr:rowOff>10080</xdr:rowOff>
    </xdr:from>
    <xdr:to>
      <xdr:col>20</xdr:col>
      <xdr:colOff>20159</xdr:colOff>
      <xdr:row>11</xdr:row>
      <xdr:rowOff>20159</xdr:rowOff>
    </xdr:to>
    <xdr:sp macro="" textlink="KPI!E8">
      <xdr:nvSpPr>
        <xdr:cNvPr id="14" name="TextBox 13">
          <a:extLst>
            <a:ext uri="{FF2B5EF4-FFF2-40B4-BE49-F238E27FC236}">
              <a16:creationId xmlns:a16="http://schemas.microsoft.com/office/drawing/2014/main" id="{00000000-0008-0000-0600-00000E000000}"/>
            </a:ext>
          </a:extLst>
        </xdr:cNvPr>
        <xdr:cNvSpPr txBox="1"/>
      </xdr:nvSpPr>
      <xdr:spPr>
        <a:xfrm>
          <a:off x="10744604" y="1733651"/>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BC2843-3898-4DE4-8B5D-C21EA667CF57}"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16.12%</a:t>
          </a:fld>
          <a:endParaRPr lang="en-IN" sz="3200">
            <a:latin typeface="Aharoni" panose="02010803020104030203" pitchFamily="2" charset="-79"/>
            <a:cs typeface="Aharoni" panose="02010803020104030203" pitchFamily="2" charset="-79"/>
          </a:endParaRPr>
        </a:p>
      </xdr:txBody>
    </xdr:sp>
    <xdr:clientData/>
  </xdr:twoCellAnchor>
  <xdr:twoCellAnchor>
    <xdr:from>
      <xdr:col>11</xdr:col>
      <xdr:colOff>574525</xdr:colOff>
      <xdr:row>6</xdr:row>
      <xdr:rowOff>181428</xdr:rowOff>
    </xdr:from>
    <xdr:to>
      <xdr:col>15</xdr:col>
      <xdr:colOff>161272</xdr:colOff>
      <xdr:row>8</xdr:row>
      <xdr:rowOff>120955</xdr:rowOff>
    </xdr:to>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7781271" y="1330476"/>
          <a:ext cx="2207382" cy="32254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ACTIVE</a:t>
          </a:r>
          <a:r>
            <a:rPr lang="en-IN" sz="1800" baseline="0">
              <a:latin typeface="Aharoni" panose="02010803020104030203" pitchFamily="2" charset="-79"/>
              <a:cs typeface="Aharoni" panose="02010803020104030203" pitchFamily="2" charset="-79"/>
            </a:rPr>
            <a:t> EMPLOYEE</a:t>
          </a:r>
          <a:endParaRPr lang="en-IN" sz="1800">
            <a:latin typeface="Aharoni" panose="02010803020104030203" pitchFamily="2" charset="-79"/>
            <a:cs typeface="Aharoni" panose="02010803020104030203" pitchFamily="2" charset="-79"/>
          </a:endParaRPr>
        </a:p>
      </xdr:txBody>
    </xdr:sp>
    <xdr:clientData/>
  </xdr:twoCellAnchor>
  <xdr:twoCellAnchor>
    <xdr:from>
      <xdr:col>11</xdr:col>
      <xdr:colOff>483811</xdr:colOff>
      <xdr:row>8</xdr:row>
      <xdr:rowOff>171350</xdr:rowOff>
    </xdr:from>
    <xdr:to>
      <xdr:col>15</xdr:col>
      <xdr:colOff>241906</xdr:colOff>
      <xdr:row>10</xdr:row>
      <xdr:rowOff>181429</xdr:rowOff>
    </xdr:to>
    <xdr:sp macro="" textlink="KPI!D8">
      <xdr:nvSpPr>
        <xdr:cNvPr id="16" name="TextBox 15">
          <a:extLst>
            <a:ext uri="{FF2B5EF4-FFF2-40B4-BE49-F238E27FC236}">
              <a16:creationId xmlns:a16="http://schemas.microsoft.com/office/drawing/2014/main" id="{00000000-0008-0000-0600-000010000000}"/>
            </a:ext>
          </a:extLst>
        </xdr:cNvPr>
        <xdr:cNvSpPr txBox="1"/>
      </xdr:nvSpPr>
      <xdr:spPr>
        <a:xfrm>
          <a:off x="7690557" y="1703413"/>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5811A-2785-45F7-B0CF-953A3769C187}" type="TxLink">
            <a:rPr lang="en-US" sz="3200" b="0" i="0" u="none" strike="noStrike">
              <a:solidFill>
                <a:srgbClr val="C00000"/>
              </a:solidFill>
              <a:latin typeface="Aharoni" panose="02010803020104030203" pitchFamily="2" charset="-79"/>
              <a:ea typeface="Calibri"/>
              <a:cs typeface="Aharoni" panose="02010803020104030203" pitchFamily="2" charset="-79"/>
            </a:rPr>
            <a:pPr algn="ctr"/>
            <a:t>1233</a:t>
          </a:fld>
          <a:endParaRPr lang="en-IN" sz="3200">
            <a:solidFill>
              <a:srgbClr val="C00000"/>
            </a:solidFill>
            <a:latin typeface="Aharoni" panose="02010803020104030203" pitchFamily="2" charset="-79"/>
            <a:cs typeface="Aharoni" panose="02010803020104030203" pitchFamily="2" charset="-79"/>
          </a:endParaRPr>
        </a:p>
      </xdr:txBody>
    </xdr:sp>
    <xdr:clientData/>
  </xdr:twoCellAnchor>
  <xdr:twoCellAnchor>
    <xdr:from>
      <xdr:col>16</xdr:col>
      <xdr:colOff>159658</xdr:colOff>
      <xdr:row>7</xdr:row>
      <xdr:rowOff>3627</xdr:rowOff>
    </xdr:from>
    <xdr:to>
      <xdr:col>19</xdr:col>
      <xdr:colOff>401564</xdr:colOff>
      <xdr:row>8</xdr:row>
      <xdr:rowOff>133654</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10726058" y="1337127"/>
          <a:ext cx="2223106" cy="32052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 RATE</a:t>
          </a:r>
        </a:p>
      </xdr:txBody>
    </xdr:sp>
    <xdr:clientData/>
  </xdr:twoCellAnchor>
  <xdr:twoCellAnchor>
    <xdr:from>
      <xdr:col>16</xdr:col>
      <xdr:colOff>262064</xdr:colOff>
      <xdr:row>9</xdr:row>
      <xdr:rowOff>10080</xdr:rowOff>
    </xdr:from>
    <xdr:to>
      <xdr:col>20</xdr:col>
      <xdr:colOff>20159</xdr:colOff>
      <xdr:row>11</xdr:row>
      <xdr:rowOff>20159</xdr:rowOff>
    </xdr:to>
    <xdr:sp macro="" textlink="KPI!E8">
      <xdr:nvSpPr>
        <xdr:cNvPr id="18" name="TextBox 17">
          <a:extLst>
            <a:ext uri="{FF2B5EF4-FFF2-40B4-BE49-F238E27FC236}">
              <a16:creationId xmlns:a16="http://schemas.microsoft.com/office/drawing/2014/main" id="{00000000-0008-0000-0600-000012000000}"/>
            </a:ext>
          </a:extLst>
        </xdr:cNvPr>
        <xdr:cNvSpPr txBox="1"/>
      </xdr:nvSpPr>
      <xdr:spPr>
        <a:xfrm>
          <a:off x="10744604" y="1733651"/>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BC2843-3898-4DE4-8B5D-C21EA667CF57}" type="TxLink">
            <a:rPr lang="en-US" sz="3200" b="0" i="0" u="none" strike="noStrike">
              <a:solidFill>
                <a:srgbClr val="C00000"/>
              </a:solidFill>
              <a:latin typeface="Aharoni" panose="02010803020104030203" pitchFamily="2" charset="-79"/>
              <a:ea typeface="Calibri"/>
              <a:cs typeface="Aharoni" panose="02010803020104030203" pitchFamily="2" charset="-79"/>
            </a:rPr>
            <a:pPr algn="ctr"/>
            <a:t>16.12%</a:t>
          </a:fld>
          <a:endParaRPr lang="en-IN" sz="3200">
            <a:solidFill>
              <a:srgbClr val="C00000"/>
            </a:solidFill>
            <a:latin typeface="Aharoni" panose="02010803020104030203" pitchFamily="2" charset="-79"/>
            <a:cs typeface="Aharoni" panose="02010803020104030203" pitchFamily="2" charset="-79"/>
          </a:endParaRPr>
        </a:p>
      </xdr:txBody>
    </xdr:sp>
    <xdr:clientData/>
  </xdr:twoCellAnchor>
  <xdr:twoCellAnchor>
    <xdr:from>
      <xdr:col>20</xdr:col>
      <xdr:colOff>492211</xdr:colOff>
      <xdr:row>7</xdr:row>
      <xdr:rowOff>16798</xdr:rowOff>
    </xdr:from>
    <xdr:to>
      <xdr:col>24</xdr:col>
      <xdr:colOff>75597</xdr:colOff>
      <xdr:row>8</xdr:row>
      <xdr:rowOff>144473</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13662581" y="1333835"/>
          <a:ext cx="2217460" cy="315823"/>
        </a:xfrm>
        <a:prstGeom prst="rect">
          <a:avLst/>
        </a:prstGeom>
        <a:solidFill>
          <a:srgbClr val="FCD6D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AVERAGE</a:t>
          </a:r>
          <a:r>
            <a:rPr lang="en-IN" sz="1800" baseline="0">
              <a:latin typeface="Aharoni" panose="02010803020104030203" pitchFamily="2" charset="-79"/>
              <a:cs typeface="Aharoni" panose="02010803020104030203" pitchFamily="2" charset="-79"/>
            </a:rPr>
            <a:t> AGE</a:t>
          </a:r>
          <a:endParaRPr lang="en-IN" sz="1800">
            <a:latin typeface="Aharoni" panose="02010803020104030203" pitchFamily="2" charset="-79"/>
            <a:cs typeface="Aharoni" panose="02010803020104030203" pitchFamily="2" charset="-79"/>
          </a:endParaRPr>
        </a:p>
      </xdr:txBody>
    </xdr:sp>
    <xdr:clientData/>
  </xdr:twoCellAnchor>
  <xdr:twoCellAnchor>
    <xdr:from>
      <xdr:col>20</xdr:col>
      <xdr:colOff>614842</xdr:colOff>
      <xdr:row>9</xdr:row>
      <xdr:rowOff>10080</xdr:rowOff>
    </xdr:from>
    <xdr:to>
      <xdr:col>24</xdr:col>
      <xdr:colOff>372937</xdr:colOff>
      <xdr:row>11</xdr:row>
      <xdr:rowOff>20159</xdr:rowOff>
    </xdr:to>
    <xdr:sp macro="" textlink="KPI!C8">
      <xdr:nvSpPr>
        <xdr:cNvPr id="22" name="TextBox 21">
          <a:extLst>
            <a:ext uri="{FF2B5EF4-FFF2-40B4-BE49-F238E27FC236}">
              <a16:creationId xmlns:a16="http://schemas.microsoft.com/office/drawing/2014/main" id="{00000000-0008-0000-0600-000016000000}"/>
            </a:ext>
          </a:extLst>
        </xdr:cNvPr>
        <xdr:cNvSpPr txBox="1"/>
      </xdr:nvSpPr>
      <xdr:spPr>
        <a:xfrm>
          <a:off x="13718017" y="1733651"/>
          <a:ext cx="2378730" cy="393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FCCBA4-A975-43CF-8A6C-4C5D16C4750B}" type="TxLink">
            <a:rPr lang="en-US" sz="3200" b="0" i="0" u="none" strike="noStrike">
              <a:solidFill>
                <a:srgbClr val="C00000"/>
              </a:solidFill>
              <a:latin typeface="Aharoni" panose="02010803020104030203" pitchFamily="2" charset="-79"/>
              <a:ea typeface="Calibri"/>
              <a:cs typeface="Aharoni" panose="02010803020104030203" pitchFamily="2" charset="-79"/>
            </a:rPr>
            <a:pPr algn="ctr"/>
            <a:t>37</a:t>
          </a:fld>
          <a:endParaRPr lang="en-IN" sz="3200">
            <a:solidFill>
              <a:srgbClr val="C00000"/>
            </a:solidFill>
            <a:latin typeface="Aharoni" panose="02010803020104030203" pitchFamily="2" charset="-79"/>
            <a:cs typeface="Aharoni" panose="02010803020104030203" pitchFamily="2" charset="-79"/>
          </a:endParaRPr>
        </a:p>
      </xdr:txBody>
    </xdr:sp>
    <xdr:clientData/>
  </xdr:twoCellAnchor>
  <xdr:oneCellAnchor>
    <xdr:from>
      <xdr:col>6</xdr:col>
      <xdr:colOff>292303</xdr:colOff>
      <xdr:row>7</xdr:row>
      <xdr:rowOff>20158</xdr:rowOff>
    </xdr:from>
    <xdr:ext cx="333375" cy="314325"/>
    <xdr:pic>
      <xdr:nvPicPr>
        <xdr:cNvPr id="23" name="image4.png">
          <a:extLst>
            <a:ext uri="{FF2B5EF4-FFF2-40B4-BE49-F238E27FC236}">
              <a16:creationId xmlns:a16="http://schemas.microsoft.com/office/drawing/2014/main" id="{00000000-0008-0000-0600-000017000000}"/>
            </a:ext>
          </a:extLst>
        </xdr:cNvPr>
        <xdr:cNvPicPr preferRelativeResize="0"/>
      </xdr:nvPicPr>
      <xdr:blipFill>
        <a:blip xmlns:r="http://schemas.openxmlformats.org/officeDocument/2006/relationships" r:embed="rId1" cstate="print"/>
        <a:stretch>
          <a:fillRect/>
        </a:stretch>
      </xdr:blipFill>
      <xdr:spPr>
        <a:xfrm>
          <a:off x="4223255" y="1360714"/>
          <a:ext cx="333375" cy="314325"/>
        </a:xfrm>
        <a:prstGeom prst="rect">
          <a:avLst/>
        </a:prstGeom>
        <a:noFill/>
      </xdr:spPr>
    </xdr:pic>
    <xdr:clientData fLocksWithSheet="0"/>
  </xdr:oneCellAnchor>
  <xdr:oneCellAnchor>
    <xdr:from>
      <xdr:col>15</xdr:col>
      <xdr:colOff>191508</xdr:colOff>
      <xdr:row>6</xdr:row>
      <xdr:rowOff>151190</xdr:rowOff>
    </xdr:from>
    <xdr:ext cx="419100" cy="304800"/>
    <xdr:pic>
      <xdr:nvPicPr>
        <xdr:cNvPr id="24" name="image5.png">
          <a:extLst>
            <a:ext uri="{FF2B5EF4-FFF2-40B4-BE49-F238E27FC236}">
              <a16:creationId xmlns:a16="http://schemas.microsoft.com/office/drawing/2014/main" id="{00000000-0008-0000-0600-000018000000}"/>
            </a:ext>
          </a:extLst>
        </xdr:cNvPr>
        <xdr:cNvPicPr preferRelativeResize="0"/>
      </xdr:nvPicPr>
      <xdr:blipFill>
        <a:blip xmlns:r="http://schemas.openxmlformats.org/officeDocument/2006/relationships" r:embed="rId2" cstate="print"/>
        <a:stretch>
          <a:fillRect/>
        </a:stretch>
      </xdr:blipFill>
      <xdr:spPr>
        <a:xfrm>
          <a:off x="10018889" y="1300238"/>
          <a:ext cx="419100" cy="304800"/>
        </a:xfrm>
        <a:prstGeom prst="rect">
          <a:avLst/>
        </a:prstGeom>
        <a:noFill/>
      </xdr:spPr>
    </xdr:pic>
    <xdr:clientData fLocksWithSheet="0"/>
  </xdr:oneCellAnchor>
  <xdr:oneCellAnchor>
    <xdr:from>
      <xdr:col>19</xdr:col>
      <xdr:colOff>544286</xdr:colOff>
      <xdr:row>7</xdr:row>
      <xdr:rowOff>10078</xdr:rowOff>
    </xdr:from>
    <xdr:ext cx="390525" cy="314325"/>
    <xdr:pic>
      <xdr:nvPicPr>
        <xdr:cNvPr id="25" name="image2.png">
          <a:extLst>
            <a:ext uri="{FF2B5EF4-FFF2-40B4-BE49-F238E27FC236}">
              <a16:creationId xmlns:a16="http://schemas.microsoft.com/office/drawing/2014/main" id="{00000000-0008-0000-0600-000019000000}"/>
            </a:ext>
          </a:extLst>
        </xdr:cNvPr>
        <xdr:cNvPicPr preferRelativeResize="0"/>
      </xdr:nvPicPr>
      <xdr:blipFill>
        <a:blip xmlns:r="http://schemas.openxmlformats.org/officeDocument/2006/relationships" r:embed="rId3" cstate="print"/>
        <a:stretch>
          <a:fillRect/>
        </a:stretch>
      </xdr:blipFill>
      <xdr:spPr>
        <a:xfrm>
          <a:off x="12992302" y="1350634"/>
          <a:ext cx="390525" cy="314325"/>
        </a:xfrm>
        <a:prstGeom prst="rect">
          <a:avLst/>
        </a:prstGeom>
        <a:noFill/>
      </xdr:spPr>
    </xdr:pic>
    <xdr:clientData fLocksWithSheet="0"/>
  </xdr:oneCellAnchor>
  <xdr:oneCellAnchor>
    <xdr:from>
      <xdr:col>23</xdr:col>
      <xdr:colOff>640041</xdr:colOff>
      <xdr:row>6</xdr:row>
      <xdr:rowOff>151190</xdr:rowOff>
    </xdr:from>
    <xdr:ext cx="476704" cy="413254"/>
    <xdr:pic>
      <xdr:nvPicPr>
        <xdr:cNvPr id="26" name="image6.png">
          <a:extLst>
            <a:ext uri="{FF2B5EF4-FFF2-40B4-BE49-F238E27FC236}">
              <a16:creationId xmlns:a16="http://schemas.microsoft.com/office/drawing/2014/main" id="{00000000-0008-0000-0600-00001A000000}"/>
            </a:ext>
          </a:extLst>
        </xdr:cNvPr>
        <xdr:cNvPicPr preferRelativeResize="0"/>
      </xdr:nvPicPr>
      <xdr:blipFill>
        <a:blip xmlns:r="http://schemas.openxmlformats.org/officeDocument/2006/relationships" r:embed="rId4" cstate="print"/>
        <a:stretch>
          <a:fillRect/>
        </a:stretch>
      </xdr:blipFill>
      <xdr:spPr>
        <a:xfrm>
          <a:off x="15785967" y="1280079"/>
          <a:ext cx="476704" cy="413254"/>
        </a:xfrm>
        <a:prstGeom prst="rect">
          <a:avLst/>
        </a:prstGeom>
        <a:noFill/>
      </xdr:spPr>
    </xdr:pic>
    <xdr:clientData fLocksWithSheet="0"/>
  </xdr:oneCellAnchor>
  <xdr:oneCellAnchor>
    <xdr:from>
      <xdr:col>10</xdr:col>
      <xdr:colOff>322540</xdr:colOff>
      <xdr:row>6</xdr:row>
      <xdr:rowOff>141110</xdr:rowOff>
    </xdr:from>
    <xdr:ext cx="657125" cy="554365"/>
    <xdr:pic>
      <xdr:nvPicPr>
        <xdr:cNvPr id="27" name="image7.png">
          <a:extLst>
            <a:ext uri="{FF2B5EF4-FFF2-40B4-BE49-F238E27FC236}">
              <a16:creationId xmlns:a16="http://schemas.microsoft.com/office/drawing/2014/main" id="{00000000-0008-0000-0600-00001B000000}"/>
            </a:ext>
          </a:extLst>
        </xdr:cNvPr>
        <xdr:cNvPicPr preferRelativeResize="0"/>
      </xdr:nvPicPr>
      <xdr:blipFill>
        <a:blip xmlns:r="http://schemas.openxmlformats.org/officeDocument/2006/relationships" r:embed="rId5" cstate="print"/>
        <a:stretch>
          <a:fillRect/>
        </a:stretch>
      </xdr:blipFill>
      <xdr:spPr>
        <a:xfrm>
          <a:off x="6874127" y="1290158"/>
          <a:ext cx="657125" cy="554365"/>
        </a:xfrm>
        <a:prstGeom prst="rect">
          <a:avLst/>
        </a:prstGeom>
        <a:noFill/>
      </xdr:spPr>
    </xdr:pic>
    <xdr:clientData fLocksWithSheet="0"/>
  </xdr:oneCellAnchor>
  <xdr:twoCellAnchor>
    <xdr:from>
      <xdr:col>3</xdr:col>
      <xdr:colOff>60476</xdr:colOff>
      <xdr:row>2</xdr:row>
      <xdr:rowOff>131032</xdr:rowOff>
    </xdr:from>
    <xdr:to>
      <xdr:col>15</xdr:col>
      <xdr:colOff>90714</xdr:colOff>
      <xdr:row>5</xdr:row>
      <xdr:rowOff>60476</xdr:rowOff>
    </xdr:to>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2025952" y="514048"/>
          <a:ext cx="7892143" cy="50396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002060"/>
              </a:solidFill>
              <a:latin typeface="Aharoni" panose="02010803020104030203" pitchFamily="2" charset="-79"/>
              <a:cs typeface="Aharoni" panose="02010803020104030203" pitchFamily="2" charset="-79"/>
            </a:rPr>
            <a:t>HR ANALYTICS DASHBOARD</a:t>
          </a:r>
        </a:p>
      </xdr:txBody>
    </xdr:sp>
    <xdr:clientData/>
  </xdr:twoCellAnchor>
  <xdr:oneCellAnchor>
    <xdr:from>
      <xdr:col>3</xdr:col>
      <xdr:colOff>20159</xdr:colOff>
      <xdr:row>2</xdr:row>
      <xdr:rowOff>100794</xdr:rowOff>
    </xdr:from>
    <xdr:ext cx="542925" cy="523875"/>
    <xdr:pic>
      <xdr:nvPicPr>
        <xdr:cNvPr id="54" name="image1.png">
          <a:extLst>
            <a:ext uri="{FF2B5EF4-FFF2-40B4-BE49-F238E27FC236}">
              <a16:creationId xmlns:a16="http://schemas.microsoft.com/office/drawing/2014/main" id="{00000000-0008-0000-0600-000036000000}"/>
            </a:ext>
          </a:extLst>
        </xdr:cNvPr>
        <xdr:cNvPicPr preferRelativeResize="0"/>
      </xdr:nvPicPr>
      <xdr:blipFill>
        <a:blip xmlns:r="http://schemas.openxmlformats.org/officeDocument/2006/relationships" r:embed="rId6" cstate="print"/>
        <a:stretch>
          <a:fillRect/>
        </a:stretch>
      </xdr:blipFill>
      <xdr:spPr>
        <a:xfrm>
          <a:off x="1985635" y="483810"/>
          <a:ext cx="542925" cy="523875"/>
        </a:xfrm>
        <a:prstGeom prst="rect">
          <a:avLst/>
        </a:prstGeom>
        <a:noFill/>
      </xdr:spPr>
    </xdr:pic>
    <xdr:clientData fLocksWithSheet="0"/>
  </xdr:oneCellAnchor>
  <xdr:oneCellAnchor>
    <xdr:from>
      <xdr:col>16</xdr:col>
      <xdr:colOff>74080</xdr:colOff>
      <xdr:row>2</xdr:row>
      <xdr:rowOff>65013</xdr:rowOff>
    </xdr:from>
    <xdr:ext cx="723900" cy="628650"/>
    <xdr:pic>
      <xdr:nvPicPr>
        <xdr:cNvPr id="55" name="image3.png">
          <a:extLst>
            <a:ext uri="{FF2B5EF4-FFF2-40B4-BE49-F238E27FC236}">
              <a16:creationId xmlns:a16="http://schemas.microsoft.com/office/drawing/2014/main" id="{00000000-0008-0000-0600-000037000000}"/>
            </a:ext>
          </a:extLst>
        </xdr:cNvPr>
        <xdr:cNvPicPr preferRelativeResize="0"/>
      </xdr:nvPicPr>
      <xdr:blipFill>
        <a:blip xmlns:r="http://schemas.openxmlformats.org/officeDocument/2006/relationships" r:embed="rId7" cstate="print"/>
        <a:stretch>
          <a:fillRect/>
        </a:stretch>
      </xdr:blipFill>
      <xdr:spPr>
        <a:xfrm>
          <a:off x="10556620" y="448029"/>
          <a:ext cx="723900" cy="628650"/>
        </a:xfrm>
        <a:prstGeom prst="rect">
          <a:avLst/>
        </a:prstGeom>
        <a:noFill/>
      </xdr:spPr>
    </xdr:pic>
    <xdr:clientData fLocksWithSheet="0"/>
  </xdr:oneCellAnchor>
  <xdr:twoCellAnchor>
    <xdr:from>
      <xdr:col>17</xdr:col>
      <xdr:colOff>211667</xdr:colOff>
      <xdr:row>2</xdr:row>
      <xdr:rowOff>60476</xdr:rowOff>
    </xdr:from>
    <xdr:to>
      <xdr:col>19</xdr:col>
      <xdr:colOff>332618</xdr:colOff>
      <xdr:row>5</xdr:row>
      <xdr:rowOff>151190</xdr:rowOff>
    </xdr:to>
    <xdr:sp macro="" textlink="">
      <xdr:nvSpPr>
        <xdr:cNvPr id="56" name="TextBox 55">
          <a:extLst>
            <a:ext uri="{FF2B5EF4-FFF2-40B4-BE49-F238E27FC236}">
              <a16:creationId xmlns:a16="http://schemas.microsoft.com/office/drawing/2014/main" id="{00000000-0008-0000-0600-000038000000}"/>
            </a:ext>
          </a:extLst>
        </xdr:cNvPr>
        <xdr:cNvSpPr txBox="1"/>
      </xdr:nvSpPr>
      <xdr:spPr>
        <a:xfrm>
          <a:off x="11349365" y="443492"/>
          <a:ext cx="1431269" cy="665238"/>
        </a:xfrm>
        <a:prstGeom prst="rect">
          <a:avLst/>
        </a:prstGeom>
        <a:solidFill>
          <a:srgbClr val="F0D4F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7030A0"/>
              </a:solidFill>
              <a:latin typeface="Aharoni" panose="02010803020104030203" pitchFamily="2" charset="-79"/>
              <a:cs typeface="Aharoni" panose="02010803020104030203" pitchFamily="2" charset="-79"/>
            </a:rPr>
            <a:t>JOB </a:t>
          </a:r>
        </a:p>
        <a:p>
          <a:r>
            <a:rPr lang="en-IN" sz="1400">
              <a:solidFill>
                <a:srgbClr val="7030A0"/>
              </a:solidFill>
              <a:latin typeface="Aharoni" panose="02010803020104030203" pitchFamily="2" charset="-79"/>
              <a:cs typeface="Aharoni" panose="02010803020104030203" pitchFamily="2" charset="-79"/>
            </a:rPr>
            <a:t>SATISFACTION</a:t>
          </a:r>
        </a:p>
        <a:p>
          <a:r>
            <a:rPr lang="en-IN" sz="1400">
              <a:solidFill>
                <a:srgbClr val="7030A0"/>
              </a:solidFill>
              <a:latin typeface="Aharoni" panose="02010803020104030203" pitchFamily="2" charset="-79"/>
              <a:cs typeface="Aharoni" panose="02010803020104030203" pitchFamily="2" charset="-79"/>
            </a:rPr>
            <a:t>RATING</a:t>
          </a:r>
        </a:p>
      </xdr:txBody>
    </xdr:sp>
    <xdr:clientData/>
  </xdr:twoCellAnchor>
  <xdr:twoCellAnchor>
    <xdr:from>
      <xdr:col>19</xdr:col>
      <xdr:colOff>290062</xdr:colOff>
      <xdr:row>1</xdr:row>
      <xdr:rowOff>148951</xdr:rowOff>
    </xdr:from>
    <xdr:to>
      <xdr:col>21</xdr:col>
      <xdr:colOff>148951</xdr:colOff>
      <xdr:row>6</xdr:row>
      <xdr:rowOff>101913</xdr:rowOff>
    </xdr:to>
    <xdr:graphicFrame macro="">
      <xdr:nvGraphicFramePr>
        <xdr:cNvPr id="57" name="Chart 56">
          <a:extLst>
            <a:ext uri="{FF2B5EF4-FFF2-40B4-BE49-F238E27FC236}">
              <a16:creationId xmlns:a16="http://schemas.microsoft.com/office/drawing/2014/main" id="{00000000-0008-0000-06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399815</xdr:colOff>
      <xdr:row>2</xdr:row>
      <xdr:rowOff>152871</xdr:rowOff>
    </xdr:from>
    <xdr:to>
      <xdr:col>24</xdr:col>
      <xdr:colOff>458612</xdr:colOff>
      <xdr:row>6</xdr:row>
      <xdr:rowOff>11760</xdr:rowOff>
    </xdr:to>
    <xdr:graphicFrame macro="">
      <xdr:nvGraphicFramePr>
        <xdr:cNvPr id="59" name="Chart 58">
          <a:extLst>
            <a:ext uri="{FF2B5EF4-FFF2-40B4-BE49-F238E27FC236}">
              <a16:creationId xmlns:a16="http://schemas.microsoft.com/office/drawing/2014/main" id="{00000000-0008-0000-06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529167</xdr:colOff>
      <xdr:row>3</xdr:row>
      <xdr:rowOff>11758</xdr:rowOff>
    </xdr:from>
    <xdr:to>
      <xdr:col>24</xdr:col>
      <xdr:colOff>376297</xdr:colOff>
      <xdr:row>5</xdr:row>
      <xdr:rowOff>85894</xdr:rowOff>
    </xdr:to>
    <xdr:sp macro="" textlink="">
      <xdr:nvSpPr>
        <xdr:cNvPr id="60" name="Freeform: Shape 59">
          <a:extLst>
            <a:ext uri="{FF2B5EF4-FFF2-40B4-BE49-F238E27FC236}">
              <a16:creationId xmlns:a16="http://schemas.microsoft.com/office/drawing/2014/main" id="{00000000-0008-0000-0600-00003C000000}"/>
            </a:ext>
          </a:extLst>
        </xdr:cNvPr>
        <xdr:cNvSpPr/>
      </xdr:nvSpPr>
      <xdr:spPr>
        <a:xfrm>
          <a:off x="13699537" y="576202"/>
          <a:ext cx="2481204" cy="450433"/>
        </a:xfrm>
        <a:custGeom>
          <a:avLst/>
          <a:gdLst>
            <a:gd name="connsiteX0" fmla="*/ 1187523 w 3102795"/>
            <a:gd name="connsiteY0" fmla="*/ 62928 h 613888"/>
            <a:gd name="connsiteX1" fmla="*/ 1107486 w 3102795"/>
            <a:gd name="connsiteY1" fmla="*/ 251299 h 613888"/>
            <a:gd name="connsiteX2" fmla="*/ 848476 w 3102795"/>
            <a:gd name="connsiteY2" fmla="*/ 251297 h 613888"/>
            <a:gd name="connsiteX3" fmla="*/ 1058020 w 3102795"/>
            <a:gd name="connsiteY3" fmla="*/ 367716 h 613888"/>
            <a:gd name="connsiteX4" fmla="*/ 977980 w 3102795"/>
            <a:gd name="connsiteY4" fmla="*/ 556086 h 613888"/>
            <a:gd name="connsiteX5" fmla="*/ 1187523 w 3102795"/>
            <a:gd name="connsiteY5" fmla="*/ 439665 h 613888"/>
            <a:gd name="connsiteX6" fmla="*/ 1397065 w 3102795"/>
            <a:gd name="connsiteY6" fmla="*/ 556086 h 613888"/>
            <a:gd name="connsiteX7" fmla="*/ 1317025 w 3102795"/>
            <a:gd name="connsiteY7" fmla="*/ 367716 h 613888"/>
            <a:gd name="connsiteX8" fmla="*/ 1526569 w 3102795"/>
            <a:gd name="connsiteY8" fmla="*/ 251297 h 613888"/>
            <a:gd name="connsiteX9" fmla="*/ 1267559 w 3102795"/>
            <a:gd name="connsiteY9" fmla="*/ 251299 h 613888"/>
            <a:gd name="connsiteX10" fmla="*/ 2678991 w 3102795"/>
            <a:gd name="connsiteY10" fmla="*/ 60366 h 613888"/>
            <a:gd name="connsiteX11" fmla="*/ 2598954 w 3102795"/>
            <a:gd name="connsiteY11" fmla="*/ 248737 h 613888"/>
            <a:gd name="connsiteX12" fmla="*/ 2339944 w 3102795"/>
            <a:gd name="connsiteY12" fmla="*/ 248735 h 613888"/>
            <a:gd name="connsiteX13" fmla="*/ 2549488 w 3102795"/>
            <a:gd name="connsiteY13" fmla="*/ 365154 h 613888"/>
            <a:gd name="connsiteX14" fmla="*/ 2469448 w 3102795"/>
            <a:gd name="connsiteY14" fmla="*/ 553524 h 613888"/>
            <a:gd name="connsiteX15" fmla="*/ 2678991 w 3102795"/>
            <a:gd name="connsiteY15" fmla="*/ 437103 h 613888"/>
            <a:gd name="connsiteX16" fmla="*/ 2888533 w 3102795"/>
            <a:gd name="connsiteY16" fmla="*/ 553524 h 613888"/>
            <a:gd name="connsiteX17" fmla="*/ 2808493 w 3102795"/>
            <a:gd name="connsiteY17" fmla="*/ 365154 h 613888"/>
            <a:gd name="connsiteX18" fmla="*/ 3018037 w 3102795"/>
            <a:gd name="connsiteY18" fmla="*/ 248735 h 613888"/>
            <a:gd name="connsiteX19" fmla="*/ 2759027 w 3102795"/>
            <a:gd name="connsiteY19" fmla="*/ 248737 h 613888"/>
            <a:gd name="connsiteX20" fmla="*/ 1933257 w 3102795"/>
            <a:gd name="connsiteY20" fmla="*/ 60366 h 613888"/>
            <a:gd name="connsiteX21" fmla="*/ 1853220 w 3102795"/>
            <a:gd name="connsiteY21" fmla="*/ 248737 h 613888"/>
            <a:gd name="connsiteX22" fmla="*/ 1594210 w 3102795"/>
            <a:gd name="connsiteY22" fmla="*/ 248735 h 613888"/>
            <a:gd name="connsiteX23" fmla="*/ 1803754 w 3102795"/>
            <a:gd name="connsiteY23" fmla="*/ 365154 h 613888"/>
            <a:gd name="connsiteX24" fmla="*/ 1723714 w 3102795"/>
            <a:gd name="connsiteY24" fmla="*/ 553524 h 613888"/>
            <a:gd name="connsiteX25" fmla="*/ 1933257 w 3102795"/>
            <a:gd name="connsiteY25" fmla="*/ 437103 h 613888"/>
            <a:gd name="connsiteX26" fmla="*/ 2142799 w 3102795"/>
            <a:gd name="connsiteY26" fmla="*/ 553524 h 613888"/>
            <a:gd name="connsiteX27" fmla="*/ 2062759 w 3102795"/>
            <a:gd name="connsiteY27" fmla="*/ 365154 h 613888"/>
            <a:gd name="connsiteX28" fmla="*/ 2272303 w 3102795"/>
            <a:gd name="connsiteY28" fmla="*/ 248735 h 613888"/>
            <a:gd name="connsiteX29" fmla="*/ 2013293 w 3102795"/>
            <a:gd name="connsiteY29" fmla="*/ 248737 h 613888"/>
            <a:gd name="connsiteX30" fmla="*/ 441789 w 3102795"/>
            <a:gd name="connsiteY30" fmla="*/ 60365 h 613888"/>
            <a:gd name="connsiteX31" fmla="*/ 361752 w 3102795"/>
            <a:gd name="connsiteY31" fmla="*/ 248736 h 613888"/>
            <a:gd name="connsiteX32" fmla="*/ 102742 w 3102795"/>
            <a:gd name="connsiteY32" fmla="*/ 248734 h 613888"/>
            <a:gd name="connsiteX33" fmla="*/ 312286 w 3102795"/>
            <a:gd name="connsiteY33" fmla="*/ 365153 h 613888"/>
            <a:gd name="connsiteX34" fmla="*/ 232246 w 3102795"/>
            <a:gd name="connsiteY34" fmla="*/ 553523 h 613888"/>
            <a:gd name="connsiteX35" fmla="*/ 441789 w 3102795"/>
            <a:gd name="connsiteY35" fmla="*/ 437102 h 613888"/>
            <a:gd name="connsiteX36" fmla="*/ 651331 w 3102795"/>
            <a:gd name="connsiteY36" fmla="*/ 553523 h 613888"/>
            <a:gd name="connsiteX37" fmla="*/ 571291 w 3102795"/>
            <a:gd name="connsiteY37" fmla="*/ 365153 h 613888"/>
            <a:gd name="connsiteX38" fmla="*/ 780835 w 3102795"/>
            <a:gd name="connsiteY38" fmla="*/ 248734 h 613888"/>
            <a:gd name="connsiteX39" fmla="*/ 521825 w 3102795"/>
            <a:gd name="connsiteY39" fmla="*/ 248736 h 613888"/>
            <a:gd name="connsiteX40" fmla="*/ 0 w 3102795"/>
            <a:gd name="connsiteY40" fmla="*/ 0 h 613888"/>
            <a:gd name="connsiteX41" fmla="*/ 3102795 w 3102795"/>
            <a:gd name="connsiteY41" fmla="*/ 0 h 613888"/>
            <a:gd name="connsiteX42" fmla="*/ 3102795 w 3102795"/>
            <a:gd name="connsiteY42" fmla="*/ 613888 h 613888"/>
            <a:gd name="connsiteX43" fmla="*/ 0 w 3102795"/>
            <a:gd name="connsiteY43" fmla="*/ 613888 h 6138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102795" h="613888">
              <a:moveTo>
                <a:pt x="1187523" y="62928"/>
              </a:moveTo>
              <a:lnTo>
                <a:pt x="1107486" y="251299"/>
              </a:lnTo>
              <a:lnTo>
                <a:pt x="848476" y="251297"/>
              </a:lnTo>
              <a:lnTo>
                <a:pt x="1058020" y="367716"/>
              </a:lnTo>
              <a:lnTo>
                <a:pt x="977980" y="556086"/>
              </a:lnTo>
              <a:lnTo>
                <a:pt x="1187523" y="439665"/>
              </a:lnTo>
              <a:lnTo>
                <a:pt x="1397065" y="556086"/>
              </a:lnTo>
              <a:lnTo>
                <a:pt x="1317025" y="367716"/>
              </a:lnTo>
              <a:lnTo>
                <a:pt x="1526569" y="251297"/>
              </a:lnTo>
              <a:lnTo>
                <a:pt x="1267559" y="251299"/>
              </a:lnTo>
              <a:close/>
              <a:moveTo>
                <a:pt x="2678991" y="60366"/>
              </a:moveTo>
              <a:lnTo>
                <a:pt x="2598954" y="248737"/>
              </a:lnTo>
              <a:lnTo>
                <a:pt x="2339944" y="248735"/>
              </a:lnTo>
              <a:lnTo>
                <a:pt x="2549488" y="365154"/>
              </a:lnTo>
              <a:lnTo>
                <a:pt x="2469448" y="553524"/>
              </a:lnTo>
              <a:lnTo>
                <a:pt x="2678991" y="437103"/>
              </a:lnTo>
              <a:lnTo>
                <a:pt x="2888533" y="553524"/>
              </a:lnTo>
              <a:lnTo>
                <a:pt x="2808493" y="365154"/>
              </a:lnTo>
              <a:lnTo>
                <a:pt x="3018037" y="248735"/>
              </a:lnTo>
              <a:lnTo>
                <a:pt x="2759027" y="248737"/>
              </a:lnTo>
              <a:close/>
              <a:moveTo>
                <a:pt x="1933257" y="60366"/>
              </a:moveTo>
              <a:lnTo>
                <a:pt x="1853220" y="248737"/>
              </a:lnTo>
              <a:lnTo>
                <a:pt x="1594210" y="248735"/>
              </a:lnTo>
              <a:lnTo>
                <a:pt x="1803754" y="365154"/>
              </a:lnTo>
              <a:lnTo>
                <a:pt x="1723714" y="553524"/>
              </a:lnTo>
              <a:lnTo>
                <a:pt x="1933257" y="437103"/>
              </a:lnTo>
              <a:lnTo>
                <a:pt x="2142799" y="553524"/>
              </a:lnTo>
              <a:lnTo>
                <a:pt x="2062759" y="365154"/>
              </a:lnTo>
              <a:lnTo>
                <a:pt x="2272303" y="248735"/>
              </a:lnTo>
              <a:lnTo>
                <a:pt x="2013293" y="248737"/>
              </a:lnTo>
              <a:close/>
              <a:moveTo>
                <a:pt x="441789" y="60365"/>
              </a:moveTo>
              <a:lnTo>
                <a:pt x="361752" y="248736"/>
              </a:lnTo>
              <a:lnTo>
                <a:pt x="102742" y="248734"/>
              </a:lnTo>
              <a:lnTo>
                <a:pt x="312286" y="365153"/>
              </a:lnTo>
              <a:lnTo>
                <a:pt x="232246" y="553523"/>
              </a:lnTo>
              <a:lnTo>
                <a:pt x="441789" y="437102"/>
              </a:lnTo>
              <a:lnTo>
                <a:pt x="651331" y="553523"/>
              </a:lnTo>
              <a:lnTo>
                <a:pt x="571291" y="365153"/>
              </a:lnTo>
              <a:lnTo>
                <a:pt x="780835" y="248734"/>
              </a:lnTo>
              <a:lnTo>
                <a:pt x="521825" y="248736"/>
              </a:lnTo>
              <a:close/>
              <a:moveTo>
                <a:pt x="0" y="0"/>
              </a:moveTo>
              <a:lnTo>
                <a:pt x="3102795" y="0"/>
              </a:lnTo>
              <a:lnTo>
                <a:pt x="3102795" y="613888"/>
              </a:lnTo>
              <a:lnTo>
                <a:pt x="0" y="613888"/>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599055</xdr:colOff>
      <xdr:row>17</xdr:row>
      <xdr:rowOff>47925</xdr:rowOff>
    </xdr:from>
    <xdr:to>
      <xdr:col>8</xdr:col>
      <xdr:colOff>632231</xdr:colOff>
      <xdr:row>24</xdr:row>
      <xdr:rowOff>181382</xdr:rowOff>
    </xdr:to>
    <xdr:grpSp>
      <xdr:nvGrpSpPr>
        <xdr:cNvPr id="71" name="Group 70">
          <a:extLst>
            <a:ext uri="{FF2B5EF4-FFF2-40B4-BE49-F238E27FC236}">
              <a16:creationId xmlns:a16="http://schemas.microsoft.com/office/drawing/2014/main" id="{00000000-0008-0000-0600-000047000000}"/>
            </a:ext>
          </a:extLst>
        </xdr:cNvPr>
        <xdr:cNvGrpSpPr/>
      </xdr:nvGrpSpPr>
      <xdr:grpSpPr>
        <a:xfrm>
          <a:off x="1919855" y="3286425"/>
          <a:ext cx="3995576" cy="1466957"/>
          <a:chOff x="1952924" y="3366699"/>
          <a:chExt cx="3986949" cy="1475344"/>
        </a:xfrm>
      </xdr:grpSpPr>
      <xdr:grpSp>
        <xdr:nvGrpSpPr>
          <xdr:cNvPr id="70" name="Group 69">
            <a:extLst>
              <a:ext uri="{FF2B5EF4-FFF2-40B4-BE49-F238E27FC236}">
                <a16:creationId xmlns:a16="http://schemas.microsoft.com/office/drawing/2014/main" id="{00000000-0008-0000-0600-000046000000}"/>
              </a:ext>
            </a:extLst>
          </xdr:cNvPr>
          <xdr:cNvGrpSpPr/>
        </xdr:nvGrpSpPr>
        <xdr:grpSpPr>
          <a:xfrm>
            <a:off x="1952924" y="3366699"/>
            <a:ext cx="3986949" cy="1475344"/>
            <a:chOff x="1952924" y="3366699"/>
            <a:chExt cx="3986949" cy="1475344"/>
          </a:xfrm>
        </xdr:grpSpPr>
        <xdr:graphicFrame macro="">
          <xdr:nvGraphicFramePr>
            <xdr:cNvPr id="62" name="Chart 61">
              <a:extLst>
                <a:ext uri="{FF2B5EF4-FFF2-40B4-BE49-F238E27FC236}">
                  <a16:creationId xmlns:a16="http://schemas.microsoft.com/office/drawing/2014/main" id="{00000000-0008-0000-0600-00003E000000}"/>
                </a:ext>
              </a:extLst>
            </xdr:cNvPr>
            <xdr:cNvGraphicFramePr>
              <a:graphicFrameLocks/>
            </xdr:cNvGraphicFramePr>
          </xdr:nvGraphicFramePr>
          <xdr:xfrm>
            <a:off x="1952924" y="3366699"/>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4499873" y="3402043"/>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5" name="Graphic 64" descr="Male profile">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929811" y="3905849"/>
              <a:ext cx="914400" cy="914400"/>
            </a:xfrm>
            <a:prstGeom prst="rect">
              <a:avLst/>
            </a:prstGeom>
          </xdr:spPr>
        </xdr:pic>
        <xdr:pic>
          <xdr:nvPicPr>
            <xdr:cNvPr id="67" name="Graphic 66" descr="Female Profile">
              <a:extLst>
                <a:ext uri="{FF2B5EF4-FFF2-40B4-BE49-F238E27FC236}">
                  <a16:creationId xmlns:a16="http://schemas.microsoft.com/office/drawing/2014/main" id="{00000000-0008-0000-0600-00004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37453" y="3888113"/>
              <a:ext cx="914400" cy="914400"/>
            </a:xfrm>
            <a:prstGeom prst="rect">
              <a:avLst/>
            </a:prstGeom>
          </xdr:spPr>
        </xdr:pic>
      </xdr:grpSp>
      <xdr:sp macro="" textlink="Gender!$B$8">
        <xdr:nvSpPr>
          <xdr:cNvPr id="68" name="TextBox 1">
            <a:extLst>
              <a:ext uri="{FF2B5EF4-FFF2-40B4-BE49-F238E27FC236}">
                <a16:creationId xmlns:a16="http://schemas.microsoft.com/office/drawing/2014/main" id="{00000000-0008-0000-0600-000044000000}"/>
              </a:ext>
            </a:extLst>
          </xdr:cNvPr>
          <xdr:cNvSpPr txBox="1"/>
        </xdr:nvSpPr>
        <xdr:spPr>
          <a:xfrm>
            <a:off x="2204529" y="3977737"/>
            <a:ext cx="688038" cy="47491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0E33C732-C86A-4E1B-B361-7E8684895FB0}" type="TxLink">
              <a:rPr lang="en-US" sz="2400" b="0" i="0" u="none" strike="noStrike" kern="1200">
                <a:solidFill>
                  <a:srgbClr val="000000"/>
                </a:solidFill>
                <a:latin typeface="Aharoni" panose="02010803020104030203" pitchFamily="2" charset="-79"/>
                <a:ea typeface="Calibri"/>
                <a:cs typeface="Aharoni" panose="02010803020104030203" pitchFamily="2" charset="-79"/>
              </a:rPr>
              <a:pPr/>
              <a:t>588</a:t>
            </a:fld>
            <a:endParaRPr lang="en-IN" sz="2400" b="0" kern="1200">
              <a:solidFill>
                <a:srgbClr val="7030A0"/>
              </a:solidFill>
              <a:latin typeface="Aharoni" panose="02010803020104030203" pitchFamily="2" charset="-79"/>
              <a:cs typeface="Aharoni" panose="02010803020104030203" pitchFamily="2" charset="-79"/>
            </a:endParaRPr>
          </a:p>
        </xdr:txBody>
      </xdr:sp>
      <xdr:sp macro="" textlink="Gender!$B$9">
        <xdr:nvSpPr>
          <xdr:cNvPr id="69" name="TextBox 1">
            <a:extLst>
              <a:ext uri="{FF2B5EF4-FFF2-40B4-BE49-F238E27FC236}">
                <a16:creationId xmlns:a16="http://schemas.microsoft.com/office/drawing/2014/main" id="{00000000-0008-0000-0600-000045000000}"/>
              </a:ext>
            </a:extLst>
          </xdr:cNvPr>
          <xdr:cNvSpPr txBox="1"/>
        </xdr:nvSpPr>
        <xdr:spPr>
          <a:xfrm>
            <a:off x="5032076" y="4037642"/>
            <a:ext cx="852419" cy="59137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77719844-47A0-4D0D-B888-105C6930AFFF}" type="TxLink">
              <a:rPr lang="en-US" sz="2400" b="0" i="0" u="none" strike="noStrike" kern="1200">
                <a:solidFill>
                  <a:srgbClr val="000000"/>
                </a:solidFill>
                <a:latin typeface="Aharoni" panose="02010803020104030203" pitchFamily="2" charset="-79"/>
                <a:ea typeface="Calibri"/>
                <a:cs typeface="Aharoni" panose="02010803020104030203" pitchFamily="2" charset="-79"/>
              </a:rPr>
              <a:pPr/>
              <a:t>882</a:t>
            </a:fld>
            <a:endParaRPr lang="en-IN" sz="2400" b="0" kern="1200">
              <a:solidFill>
                <a:srgbClr val="7030A0"/>
              </a:solidFill>
              <a:latin typeface="Aharoni" panose="02010803020104030203" pitchFamily="2" charset="-79"/>
              <a:cs typeface="Aharoni" panose="02010803020104030203" pitchFamily="2" charset="-79"/>
            </a:endParaRPr>
          </a:p>
        </xdr:txBody>
      </xdr:sp>
    </xdr:grpSp>
    <xdr:clientData/>
  </xdr:twoCellAnchor>
  <xdr:twoCellAnchor>
    <xdr:from>
      <xdr:col>3</xdr:col>
      <xdr:colOff>95849</xdr:colOff>
      <xdr:row>12</xdr:row>
      <xdr:rowOff>131793</xdr:rowOff>
    </xdr:from>
    <xdr:to>
      <xdr:col>8</xdr:col>
      <xdr:colOff>419340</xdr:colOff>
      <xdr:row>14</xdr:row>
      <xdr:rowOff>119811</xdr:rowOff>
    </xdr:to>
    <xdr:sp macro="" textlink="">
      <xdr:nvSpPr>
        <xdr:cNvPr id="72" name="TextBox 71">
          <a:extLst>
            <a:ext uri="{FF2B5EF4-FFF2-40B4-BE49-F238E27FC236}">
              <a16:creationId xmlns:a16="http://schemas.microsoft.com/office/drawing/2014/main" id="{00000000-0008-0000-0600-000048000000}"/>
            </a:ext>
          </a:extLst>
        </xdr:cNvPr>
        <xdr:cNvSpPr txBox="1"/>
      </xdr:nvSpPr>
      <xdr:spPr>
        <a:xfrm>
          <a:off x="2072736" y="2432170"/>
          <a:ext cx="3618302" cy="37141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TOTAL EMPLOYEES BY GENDER</a:t>
          </a:r>
        </a:p>
      </xdr:txBody>
    </xdr:sp>
    <xdr:clientData/>
  </xdr:twoCellAnchor>
  <xdr:twoCellAnchor editAs="oneCell">
    <xdr:from>
      <xdr:col>4</xdr:col>
      <xdr:colOff>438270</xdr:colOff>
      <xdr:row>14</xdr:row>
      <xdr:rowOff>191100</xdr:rowOff>
    </xdr:from>
    <xdr:to>
      <xdr:col>7</xdr:col>
      <xdr:colOff>290183</xdr:colOff>
      <xdr:row>18</xdr:row>
      <xdr:rowOff>119811</xdr:rowOff>
    </xdr:to>
    <mc:AlternateContent xmlns:mc="http://schemas.openxmlformats.org/markup-compatibility/2006" xmlns:a14="http://schemas.microsoft.com/office/drawing/2010/main">
      <mc:Choice Requires="a14">
        <xdr:graphicFrame macro="">
          <xdr:nvGraphicFramePr>
            <xdr:cNvPr id="73" name="Gender 3">
              <a:extLst>
                <a:ext uri="{FF2B5EF4-FFF2-40B4-BE49-F238E27FC236}">
                  <a16:creationId xmlns:a16="http://schemas.microsoft.com/office/drawing/2014/main" id="{00000000-0008-0000-0600-00004900000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065856" y="2796790"/>
              <a:ext cx="1822603" cy="673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359434</xdr:colOff>
      <xdr:row>14</xdr:row>
      <xdr:rowOff>92129</xdr:rowOff>
    </xdr:from>
    <xdr:to>
      <xdr:col>17</xdr:col>
      <xdr:colOff>95850</xdr:colOff>
      <xdr:row>25</xdr:row>
      <xdr:rowOff>182965</xdr:rowOff>
    </xdr:to>
    <xdr:graphicFrame macro="">
      <xdr:nvGraphicFramePr>
        <xdr:cNvPr id="74" name="Chart 73">
          <a:extLst>
            <a:ext uri="{FF2B5EF4-FFF2-40B4-BE49-F238E27FC236}">
              <a16:creationId xmlns:a16="http://schemas.microsoft.com/office/drawing/2014/main" id="{00000000-0008-0000-06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340271</xdr:colOff>
      <xdr:row>12</xdr:row>
      <xdr:rowOff>111235</xdr:rowOff>
    </xdr:from>
    <xdr:to>
      <xdr:col>16</xdr:col>
      <xdr:colOff>617482</xdr:colOff>
      <xdr:row>14</xdr:row>
      <xdr:rowOff>165976</xdr:rowOff>
    </xdr:to>
    <xdr:sp macro="" textlink="">
      <xdr:nvSpPr>
        <xdr:cNvPr id="75" name="TextBox 74">
          <a:extLst>
            <a:ext uri="{FF2B5EF4-FFF2-40B4-BE49-F238E27FC236}">
              <a16:creationId xmlns:a16="http://schemas.microsoft.com/office/drawing/2014/main" id="{00000000-0008-0000-0600-00004B000000}"/>
            </a:ext>
          </a:extLst>
        </xdr:cNvPr>
        <xdr:cNvSpPr txBox="1"/>
      </xdr:nvSpPr>
      <xdr:spPr>
        <a:xfrm>
          <a:off x="6283871" y="2397235"/>
          <a:ext cx="4900011" cy="4357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EDUCATION WISE ATTRITION</a:t>
          </a:r>
        </a:p>
      </xdr:txBody>
    </xdr:sp>
    <xdr:clientData/>
  </xdr:twoCellAnchor>
  <xdr:twoCellAnchor>
    <xdr:from>
      <xdr:col>17</xdr:col>
      <xdr:colOff>284408</xdr:colOff>
      <xdr:row>14</xdr:row>
      <xdr:rowOff>178336</xdr:rowOff>
    </xdr:from>
    <xdr:to>
      <xdr:col>24</xdr:col>
      <xdr:colOff>475155</xdr:colOff>
      <xdr:row>26</xdr:row>
      <xdr:rowOff>33097</xdr:rowOff>
    </xdr:to>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00000000-0008-0000-0600-00004C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03258" y="2845336"/>
              <a:ext cx="4769097" cy="21407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18</xdr:col>
      <xdr:colOff>43793</xdr:colOff>
      <xdr:row>14</xdr:row>
      <xdr:rowOff>54741</xdr:rowOff>
    </xdr:from>
    <xdr:ext cx="184731" cy="264560"/>
    <xdr:sp macro="" textlink="">
      <xdr:nvSpPr>
        <xdr:cNvPr id="77" name="TextBox 76">
          <a:extLst>
            <a:ext uri="{FF2B5EF4-FFF2-40B4-BE49-F238E27FC236}">
              <a16:creationId xmlns:a16="http://schemas.microsoft.com/office/drawing/2014/main" id="{00000000-0008-0000-0600-00004D000000}"/>
            </a:ext>
          </a:extLst>
        </xdr:cNvPr>
        <xdr:cNvSpPr txBox="1"/>
      </xdr:nvSpPr>
      <xdr:spPr>
        <a:xfrm>
          <a:off x="11867931" y="26604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450582</xdr:colOff>
      <xdr:row>12</xdr:row>
      <xdr:rowOff>132724</xdr:rowOff>
    </xdr:from>
    <xdr:to>
      <xdr:col>24</xdr:col>
      <xdr:colOff>271709</xdr:colOff>
      <xdr:row>14</xdr:row>
      <xdr:rowOff>150611</xdr:rowOff>
    </xdr:to>
    <xdr:sp macro="" textlink="">
      <xdr:nvSpPr>
        <xdr:cNvPr id="6" name="TextBox 5">
          <a:extLst>
            <a:ext uri="{FF2B5EF4-FFF2-40B4-BE49-F238E27FC236}">
              <a16:creationId xmlns:a16="http://schemas.microsoft.com/office/drawing/2014/main" id="{E72DDE2E-39D1-8FB0-B243-55EDF6117239}"/>
            </a:ext>
          </a:extLst>
        </xdr:cNvPr>
        <xdr:cNvSpPr txBox="1"/>
      </xdr:nvSpPr>
      <xdr:spPr>
        <a:xfrm>
          <a:off x="11677382" y="2418724"/>
          <a:ext cx="4443927" cy="39888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a:t>
          </a:r>
          <a:r>
            <a:rPr lang="en-IN" sz="1800" baseline="0">
              <a:latin typeface="Aharoni" panose="02010803020104030203" pitchFamily="2" charset="-79"/>
              <a:cs typeface="Aharoni" panose="02010803020104030203" pitchFamily="2" charset="-79"/>
            </a:rPr>
            <a:t> BY JOB ROLE</a:t>
          </a:r>
          <a:endParaRPr lang="en-IN" sz="1800">
            <a:latin typeface="Aharoni" panose="02010803020104030203" pitchFamily="2" charset="-79"/>
            <a:cs typeface="Aharoni" panose="02010803020104030203" pitchFamily="2" charset="-79"/>
          </a:endParaRPr>
        </a:p>
      </xdr:txBody>
    </xdr:sp>
    <xdr:clientData/>
  </xdr:twoCellAnchor>
  <xdr:twoCellAnchor>
    <xdr:from>
      <xdr:col>3</xdr:col>
      <xdr:colOff>573942</xdr:colOff>
      <xdr:row>28</xdr:row>
      <xdr:rowOff>30121</xdr:rowOff>
    </xdr:from>
    <xdr:to>
      <xdr:col>8</xdr:col>
      <xdr:colOff>-1</xdr:colOff>
      <xdr:row>39</xdr:row>
      <xdr:rowOff>170962</xdr:rowOff>
    </xdr:to>
    <xdr:graphicFrame macro="">
      <xdr:nvGraphicFramePr>
        <xdr:cNvPr id="9" name="Chart 8">
          <a:extLst>
            <a:ext uri="{FF2B5EF4-FFF2-40B4-BE49-F238E27FC236}">
              <a16:creationId xmlns:a16="http://schemas.microsoft.com/office/drawing/2014/main" id="{24BC79BD-68C2-4612-9040-0A853EFB6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6350</xdr:colOff>
      <xdr:row>26</xdr:row>
      <xdr:rowOff>127000</xdr:rowOff>
    </xdr:from>
    <xdr:to>
      <xdr:col>8</xdr:col>
      <xdr:colOff>596900</xdr:colOff>
      <xdr:row>28</xdr:row>
      <xdr:rowOff>127000</xdr:rowOff>
    </xdr:to>
    <xdr:sp macro="" textlink="">
      <xdr:nvSpPr>
        <xdr:cNvPr id="10" name="TextBox 9">
          <a:extLst>
            <a:ext uri="{FF2B5EF4-FFF2-40B4-BE49-F238E27FC236}">
              <a16:creationId xmlns:a16="http://schemas.microsoft.com/office/drawing/2014/main" id="{BDDE005E-4C4E-B62F-4DA3-3BC53E18F5EE}"/>
            </a:ext>
          </a:extLst>
        </xdr:cNvPr>
        <xdr:cNvSpPr txBox="1"/>
      </xdr:nvSpPr>
      <xdr:spPr>
        <a:xfrm>
          <a:off x="1968500" y="5080000"/>
          <a:ext cx="3860800" cy="381000"/>
        </a:xfrm>
        <a:prstGeom prst="rect">
          <a:avLst/>
        </a:prstGeom>
        <a:solidFill>
          <a:srgbClr val="FF99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DEPARTMENT WISE ATTRITION</a:t>
          </a:r>
        </a:p>
      </xdr:txBody>
    </xdr:sp>
    <xdr:clientData/>
  </xdr:twoCellAnchor>
  <xdr:twoCellAnchor>
    <xdr:from>
      <xdr:col>9</xdr:col>
      <xdr:colOff>212539</xdr:colOff>
      <xdr:row>28</xdr:row>
      <xdr:rowOff>127000</xdr:rowOff>
    </xdr:from>
    <xdr:to>
      <xdr:col>15</xdr:col>
      <xdr:colOff>85539</xdr:colOff>
      <xdr:row>39</xdr:row>
      <xdr:rowOff>140572</xdr:rowOff>
    </xdr:to>
    <xdr:graphicFrame macro="">
      <xdr:nvGraphicFramePr>
        <xdr:cNvPr id="58" name="Chart 57">
          <a:extLst>
            <a:ext uri="{FF2B5EF4-FFF2-40B4-BE49-F238E27FC236}">
              <a16:creationId xmlns:a16="http://schemas.microsoft.com/office/drawing/2014/main" id="{E76870B1-7386-48BF-8FCA-89183906B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279400</xdr:colOff>
      <xdr:row>26</xdr:row>
      <xdr:rowOff>114300</xdr:rowOff>
    </xdr:from>
    <xdr:to>
      <xdr:col>14</xdr:col>
      <xdr:colOff>622300</xdr:colOff>
      <xdr:row>28</xdr:row>
      <xdr:rowOff>127000</xdr:rowOff>
    </xdr:to>
    <xdr:sp macro="" textlink="">
      <xdr:nvSpPr>
        <xdr:cNvPr id="61" name="TextBox 60">
          <a:extLst>
            <a:ext uri="{FF2B5EF4-FFF2-40B4-BE49-F238E27FC236}">
              <a16:creationId xmlns:a16="http://schemas.microsoft.com/office/drawing/2014/main" id="{D63AD98C-DDEC-B01E-2148-FF6601A391E4}"/>
            </a:ext>
          </a:extLst>
        </xdr:cNvPr>
        <xdr:cNvSpPr txBox="1"/>
      </xdr:nvSpPr>
      <xdr:spPr>
        <a:xfrm>
          <a:off x="6223000" y="5067300"/>
          <a:ext cx="3644900" cy="393700"/>
        </a:xfrm>
        <a:prstGeom prst="rect">
          <a:avLst/>
        </a:prstGeom>
        <a:solidFill>
          <a:srgbClr val="CC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haroni" panose="02010803020104030203" pitchFamily="2" charset="-79"/>
              <a:cs typeface="Aharoni" panose="02010803020104030203" pitchFamily="2" charset="-79"/>
            </a:rPr>
            <a:t>ATTRITION</a:t>
          </a:r>
          <a:r>
            <a:rPr lang="en-IN" sz="1800" baseline="0">
              <a:latin typeface="Aharoni" panose="02010803020104030203" pitchFamily="2" charset="-79"/>
              <a:cs typeface="Aharoni" panose="02010803020104030203" pitchFamily="2" charset="-79"/>
            </a:rPr>
            <a:t> BY AGE GROUP</a:t>
          </a:r>
          <a:endParaRPr lang="en-IN" sz="1800">
            <a:latin typeface="Aharoni" panose="02010803020104030203" pitchFamily="2" charset="-79"/>
            <a:cs typeface="Aharoni" panose="02010803020104030203" pitchFamily="2" charset="-79"/>
          </a:endParaRPr>
        </a:p>
      </xdr:txBody>
    </xdr:sp>
    <xdr:clientData/>
  </xdr:twoCellAnchor>
  <xdr:twoCellAnchor>
    <xdr:from>
      <xdr:col>15</xdr:col>
      <xdr:colOff>264782</xdr:colOff>
      <xdr:row>28</xdr:row>
      <xdr:rowOff>127001</xdr:rowOff>
    </xdr:from>
    <xdr:to>
      <xdr:col>19</xdr:col>
      <xdr:colOff>571500</xdr:colOff>
      <xdr:row>39</xdr:row>
      <xdr:rowOff>146051</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8933A636-C0DB-433D-9424-6BFF1562C1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75532" y="5461001"/>
              <a:ext cx="2922918" cy="2114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266700</xdr:colOff>
      <xdr:row>26</xdr:row>
      <xdr:rowOff>127000</xdr:rowOff>
    </xdr:from>
    <xdr:to>
      <xdr:col>20</xdr:col>
      <xdr:colOff>0</xdr:colOff>
      <xdr:row>28</xdr:row>
      <xdr:rowOff>101600</xdr:rowOff>
    </xdr:to>
    <xdr:sp macro="" textlink="">
      <xdr:nvSpPr>
        <xdr:cNvPr id="66" name="TextBox 65">
          <a:extLst>
            <a:ext uri="{FF2B5EF4-FFF2-40B4-BE49-F238E27FC236}">
              <a16:creationId xmlns:a16="http://schemas.microsoft.com/office/drawing/2014/main" id="{BBF765CE-961F-EDE0-1435-68F1D7118A85}"/>
            </a:ext>
          </a:extLst>
        </xdr:cNvPr>
        <xdr:cNvSpPr txBox="1"/>
      </xdr:nvSpPr>
      <xdr:spPr>
        <a:xfrm>
          <a:off x="10172700" y="5080000"/>
          <a:ext cx="3035300" cy="355600"/>
        </a:xfrm>
        <a:prstGeom prst="rect">
          <a:avLst/>
        </a:prstGeom>
        <a:solidFill>
          <a:srgbClr val="F0D4F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haroni" panose="02010803020104030203" pitchFamily="2" charset="-79"/>
              <a:cs typeface="Aharoni" panose="02010803020104030203" pitchFamily="2" charset="-79"/>
            </a:rPr>
            <a:t>ATTRITION BY MARITAL STATUS</a:t>
          </a:r>
        </a:p>
      </xdr:txBody>
    </xdr:sp>
    <xdr:clientData/>
  </xdr:twoCellAnchor>
  <xdr:twoCellAnchor editAs="oneCell">
    <xdr:from>
      <xdr:col>22</xdr:col>
      <xdr:colOff>584200</xdr:colOff>
      <xdr:row>28</xdr:row>
      <xdr:rowOff>50801</xdr:rowOff>
    </xdr:from>
    <xdr:to>
      <xdr:col>24</xdr:col>
      <xdr:colOff>457200</xdr:colOff>
      <xdr:row>39</xdr:row>
      <xdr:rowOff>114301</xdr:rowOff>
    </xdr:to>
    <mc:AlternateContent xmlns:mc="http://schemas.openxmlformats.org/markup-compatibility/2006" xmlns:a14="http://schemas.microsoft.com/office/drawing/2010/main">
      <mc:Choice Requires="a14">
        <xdr:graphicFrame macro="">
          <xdr:nvGraphicFramePr>
            <xdr:cNvPr id="78" name="Department 1">
              <a:extLst>
                <a:ext uri="{FF2B5EF4-FFF2-40B4-BE49-F238E27FC236}">
                  <a16:creationId xmlns:a16="http://schemas.microsoft.com/office/drawing/2014/main" id="{B4716FF5-B034-4CDC-B88B-8BFC30F0B65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113000" y="5384801"/>
              <a:ext cx="11938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215900</xdr:colOff>
      <xdr:row>28</xdr:row>
      <xdr:rowOff>63501</xdr:rowOff>
    </xdr:from>
    <xdr:to>
      <xdr:col>22</xdr:col>
      <xdr:colOff>482600</xdr:colOff>
      <xdr:row>39</xdr:row>
      <xdr:rowOff>127001</xdr:rowOff>
    </xdr:to>
    <mc:AlternateContent xmlns:mc="http://schemas.openxmlformats.org/markup-compatibility/2006" xmlns:a14="http://schemas.microsoft.com/office/drawing/2010/main">
      <mc:Choice Requires="a14">
        <xdr:graphicFrame macro="">
          <xdr:nvGraphicFramePr>
            <xdr:cNvPr id="79" name="Education Field 2">
              <a:extLst>
                <a:ext uri="{FF2B5EF4-FFF2-40B4-BE49-F238E27FC236}">
                  <a16:creationId xmlns:a16="http://schemas.microsoft.com/office/drawing/2014/main" id="{B368BF0B-2EE2-45FB-95B2-5D86E7603EC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423900" y="5397501"/>
              <a:ext cx="15875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241300</xdr:colOff>
      <xdr:row>26</xdr:row>
      <xdr:rowOff>139700</xdr:rowOff>
    </xdr:from>
    <xdr:to>
      <xdr:col>22</xdr:col>
      <xdr:colOff>469900</xdr:colOff>
      <xdr:row>27</xdr:row>
      <xdr:rowOff>165100</xdr:rowOff>
    </xdr:to>
    <xdr:sp macro="" textlink="">
      <xdr:nvSpPr>
        <xdr:cNvPr id="80" name="TextBox 79">
          <a:extLst>
            <a:ext uri="{FF2B5EF4-FFF2-40B4-BE49-F238E27FC236}">
              <a16:creationId xmlns:a16="http://schemas.microsoft.com/office/drawing/2014/main" id="{6DEEA212-1935-A480-9204-0234CFDD3D55}"/>
            </a:ext>
          </a:extLst>
        </xdr:cNvPr>
        <xdr:cNvSpPr txBox="1"/>
      </xdr:nvSpPr>
      <xdr:spPr>
        <a:xfrm>
          <a:off x="13449300" y="5092700"/>
          <a:ext cx="1549400" cy="2159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haroni" panose="02010803020104030203" pitchFamily="2" charset="-79"/>
              <a:cs typeface="Aharoni" panose="02010803020104030203" pitchFamily="2" charset="-79"/>
            </a:rPr>
            <a:t>Education Field</a:t>
          </a:r>
        </a:p>
      </xdr:txBody>
    </xdr:sp>
    <xdr:clientData/>
  </xdr:twoCellAnchor>
  <xdr:twoCellAnchor>
    <xdr:from>
      <xdr:col>22</xdr:col>
      <xdr:colOff>596900</xdr:colOff>
      <xdr:row>26</xdr:row>
      <xdr:rowOff>152400</xdr:rowOff>
    </xdr:from>
    <xdr:to>
      <xdr:col>24</xdr:col>
      <xdr:colOff>393700</xdr:colOff>
      <xdr:row>28</xdr:row>
      <xdr:rowOff>0</xdr:rowOff>
    </xdr:to>
    <xdr:sp macro="" textlink="">
      <xdr:nvSpPr>
        <xdr:cNvPr id="81" name="TextBox 80">
          <a:extLst>
            <a:ext uri="{FF2B5EF4-FFF2-40B4-BE49-F238E27FC236}">
              <a16:creationId xmlns:a16="http://schemas.microsoft.com/office/drawing/2014/main" id="{2407C74D-5312-51EA-F0E8-E33F3E8D5D7E}"/>
            </a:ext>
          </a:extLst>
        </xdr:cNvPr>
        <xdr:cNvSpPr txBox="1"/>
      </xdr:nvSpPr>
      <xdr:spPr>
        <a:xfrm>
          <a:off x="15125700" y="5105400"/>
          <a:ext cx="1117600" cy="2286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haroni" panose="02010803020104030203" pitchFamily="2" charset="-79"/>
              <a:cs typeface="Aharoni" panose="02010803020104030203" pitchFamily="2" charset="-79"/>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0.19595</cdr:x>
      <cdr:y>0.29825</cdr:y>
    </cdr:from>
    <cdr:to>
      <cdr:x>0.54054</cdr:x>
      <cdr:y>0.59649</cdr:y>
    </cdr:to>
    <cdr:sp macro="" textlink="Rating!$B$6">
      <cdr:nvSpPr>
        <cdr:cNvPr id="2" name="TextBox 1">
          <a:extLst xmlns:a="http://schemas.openxmlformats.org/drawingml/2006/main">
            <a:ext uri="{FF2B5EF4-FFF2-40B4-BE49-F238E27FC236}">
              <a16:creationId xmlns:a16="http://schemas.microsoft.com/office/drawing/2014/main" id="{9BD81AAB-D8F7-55BB-39BD-45AE4A233E8F}"/>
            </a:ext>
          </a:extLst>
        </cdr:cNvPr>
        <cdr:cNvSpPr txBox="1"/>
      </cdr:nvSpPr>
      <cdr:spPr>
        <a:xfrm xmlns:a="http://schemas.openxmlformats.org/drawingml/2006/main">
          <a:off x="227346" y="266543"/>
          <a:ext cx="399815" cy="2665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1D18977-E6D3-46C6-A2DA-E453AD05FFF9}" type="TxLink">
            <a:rPr lang="en-US" sz="1600" b="0" i="0" u="none" strike="noStrike" kern="1200">
              <a:solidFill>
                <a:srgbClr val="7030A0"/>
              </a:solidFill>
              <a:latin typeface="Aharoni" panose="02010803020104030203" pitchFamily="2" charset="-79"/>
              <a:ea typeface="Calibri"/>
              <a:cs typeface="Aharoni" panose="02010803020104030203" pitchFamily="2" charset="-79"/>
            </a:rPr>
            <a:pPr/>
            <a:t>2.6</a:t>
          </a:fld>
          <a:endParaRPr lang="en-IN" sz="1600" b="0" kern="1200">
            <a:solidFill>
              <a:srgbClr val="7030A0"/>
            </a:solidFill>
            <a:latin typeface="Aharoni" panose="02010803020104030203" pitchFamily="2" charset="-79"/>
            <a:cs typeface="Aharoni" panose="02010803020104030203" pitchFamily="2" charset="-79"/>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9.822652546296" createdVersion="8" refreshedVersion="8" minRefreshableVersion="3" recordCount="1470" xr:uid="{1F3E49F3-0655-47D2-B0DA-2656EF97D84D}">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8910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2BE58-6AA5-41BF-82F4-3852F701A864}"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C9BC46-7418-4B90-B18D-30CB47FEFE43}"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FDD54-81D7-432D-A981-D7E4942F5588}"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02F08-0607-4B91-B3F4-D61E483AAAD3}"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B8DF5-3249-43D2-A8B0-EBBFE1FB6AFC}"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81A92B-AA84-4763-9FD7-F2F0FA5BCCF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7FC957-3C19-4DDF-817C-502C46EC12DC}"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A3E2B-DD0B-4D0D-8308-3FD2D52AC6C6}"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1CF07E8-2751-4444-8842-0DC27620630D}" sourceName="Gender">
  <pivotTables>
    <pivotTable tabId="9" name="Gender"/>
    <pivotTable tabId="13" name="Attrition by Age group"/>
    <pivotTable tabId="11" name="Attrition by job"/>
    <pivotTable tabId="12" name="Dept wise attrition"/>
    <pivotTable tabId="10" name="Education by Attrition"/>
    <pivotTable tabId="7" name="KPI"/>
    <pivotTable tabId="14" name="Marital Status"/>
    <pivotTable tabId="8" name="Rating"/>
  </pivotTables>
  <data>
    <tabular pivotCacheId="6891094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06C19FB-7D03-4CF4-8433-2656F10878FC}" sourceName="Job Role">
  <pivotTables>
    <pivotTable tabId="9" name="Gender"/>
  </pivotTables>
  <data>
    <tabular pivotCacheId="689109452">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D0D958-D6A5-49A6-A3BA-5F86F7A39295}" sourceName="Department">
  <pivotTables>
    <pivotTable tabId="14" name="Marital Status"/>
    <pivotTable tabId="13" name="Attrition by Age group"/>
    <pivotTable tabId="11" name="Attrition by job"/>
    <pivotTable tabId="12" name="Dept wise attrition"/>
    <pivotTable tabId="10" name="Education by Attrition"/>
    <pivotTable tabId="9" name="Gender"/>
    <pivotTable tabId="7" name="KPI"/>
    <pivotTable tabId="8" name="Rating"/>
  </pivotTables>
  <data>
    <tabular pivotCacheId="68910945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C2EFB4E-D8B4-4DEB-A8E8-56BDB6CC56A1}" sourceName="Education Field">
  <pivotTables>
    <pivotTable tabId="14" name="Marital Status"/>
    <pivotTable tabId="13" name="Attrition by Age group"/>
    <pivotTable tabId="11" name="Attrition by job"/>
    <pivotTable tabId="12" name="Dept wise attrition"/>
    <pivotTable tabId="10" name="Education by Attrition"/>
    <pivotTable tabId="9" name="Gender"/>
    <pivotTable tabId="7" name="KPI"/>
    <pivotTable tabId="8" name="Rating"/>
  </pivotTables>
  <data>
    <tabular pivotCacheId="68910945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6BFCFCE-125D-4DFD-B28E-6EACDAB2FB59}" cache="Slicer_Department" caption="Department" rowHeight="262466"/>
  <slicer name="Education Field 1" xr10:uid="{21463E95-924F-48BD-B9C1-7811280E94C8}" cache="Slicer_Education_Field1" caption="Education Field"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55300AA-CCF9-4CC7-81D6-5ACCDDC02213}" cache="Slicer_Gender2" caption="Gender" rowHeight="262466"/>
  <slicer name="Job Role" xr10:uid="{50F86171-C217-4E25-9D0B-F0DB5BB16414}" cache="Slicer_Job_Role" caption="Job Role"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1DDA6A6-871F-4D1E-9EF3-9DA0F814EEA0}" cache="Slicer_Gender2" caption="Gender" rowHeight="262466"/>
  <slicer name="Education Field" xr10:uid="{A4F87AED-CBEB-444E-A14D-44D9CA484D6C}" cache="Slicer_Education_Field1"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CFC205C-1D20-4B6C-BD6D-A9B855754364}" cache="Slicer_Gender2" caption="Gender"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B811DA2-D7F1-405A-A539-4C5002183087}" cache="Slicer_Gender2" caption="Gender" columnCount="2" style="SlicerStyleLight4" rowHeight="262466"/>
  <slicer name="Department 1" xr10:uid="{481D18F0-0EE7-405B-92AF-674CA3C24777}" cache="Slicer_Department" style="Slicer Style 2" rowHeight="262466"/>
  <slicer name="Education Field 2" xr10:uid="{AA9E4216-7106-4C00-9270-8C702FDEE914}" cache="Slicer_Education_Field1" style="Slicer Style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FFD7-4434-4096-93FE-60732BA51730}">
  <dimension ref="A3:E7"/>
  <sheetViews>
    <sheetView workbookViewId="0">
      <selection activeCell="B4" sqref="B4"/>
    </sheetView>
  </sheetViews>
  <sheetFormatPr defaultRowHeight="15.5" x14ac:dyDescent="0.35"/>
  <cols>
    <col min="1" max="1" width="12" bestFit="1" customWidth="1"/>
    <col min="2" max="2" width="15.33203125" bestFit="1" customWidth="1"/>
    <col min="4" max="4" width="12.33203125" bestFit="1" customWidth="1"/>
  </cols>
  <sheetData>
    <row r="3" spans="1:5" x14ac:dyDescent="0.35">
      <c r="A3" s="12" t="s">
        <v>1565</v>
      </c>
      <c r="B3" s="7" t="s">
        <v>1569</v>
      </c>
      <c r="D3" s="1" t="s">
        <v>10</v>
      </c>
      <c r="E3" s="1" t="s">
        <v>0</v>
      </c>
    </row>
    <row r="4" spans="1:5" x14ac:dyDescent="0.35">
      <c r="A4" s="13" t="s">
        <v>79</v>
      </c>
      <c r="B4" s="7">
        <v>327</v>
      </c>
      <c r="D4" t="str">
        <f>A4</f>
        <v>Divorced</v>
      </c>
      <c r="E4">
        <f>GETPIVOTDATA("Attrition",$A$3,"Marital Status",A4)</f>
        <v>327</v>
      </c>
    </row>
    <row r="5" spans="1:5" x14ac:dyDescent="0.35">
      <c r="A5" s="14" t="s">
        <v>53</v>
      </c>
      <c r="B5" s="18">
        <v>470</v>
      </c>
      <c r="D5" t="str">
        <f t="shared" ref="D5:D6" si="0">A5</f>
        <v>Single</v>
      </c>
      <c r="E5">
        <f t="shared" ref="E5:E6" si="1">GETPIVOTDATA("Attrition",$A$3,"Marital Status",A5)</f>
        <v>470</v>
      </c>
    </row>
    <row r="6" spans="1:5" x14ac:dyDescent="0.35">
      <c r="A6" s="14" t="s">
        <v>64</v>
      </c>
      <c r="B6" s="18">
        <v>673</v>
      </c>
      <c r="D6" t="str">
        <f t="shared" si="0"/>
        <v>Married</v>
      </c>
      <c r="E6">
        <f t="shared" si="1"/>
        <v>673</v>
      </c>
    </row>
    <row r="7" spans="1:5" x14ac:dyDescent="0.35">
      <c r="A7" s="15" t="s">
        <v>1566</v>
      </c>
      <c r="B7" s="19">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118-6237-4B7B-92A7-2987AFC504F3}">
  <dimension ref="A3:B9"/>
  <sheetViews>
    <sheetView workbookViewId="0">
      <selection activeCell="D1" sqref="D1"/>
    </sheetView>
  </sheetViews>
  <sheetFormatPr defaultRowHeight="15.5" x14ac:dyDescent="0.35"/>
  <cols>
    <col min="1" max="1" width="12" bestFit="1" customWidth="1"/>
    <col min="2" max="2" width="22.08203125" bestFit="1" customWidth="1"/>
  </cols>
  <sheetData>
    <row r="3" spans="1:2" x14ac:dyDescent="0.35">
      <c r="A3" s="12" t="s">
        <v>1565</v>
      </c>
      <c r="B3" s="7" t="s">
        <v>1568</v>
      </c>
    </row>
    <row r="4" spans="1:2" x14ac:dyDescent="0.35">
      <c r="A4" s="13" t="s">
        <v>69</v>
      </c>
      <c r="B4" s="7">
        <v>112</v>
      </c>
    </row>
    <row r="5" spans="1:2" x14ac:dyDescent="0.35">
      <c r="A5" s="14" t="s">
        <v>46</v>
      </c>
      <c r="B5" s="18">
        <v>51</v>
      </c>
    </row>
    <row r="6" spans="1:2" x14ac:dyDescent="0.35">
      <c r="A6" s="14" t="s">
        <v>92</v>
      </c>
      <c r="B6" s="18">
        <v>38</v>
      </c>
    </row>
    <row r="7" spans="1:2" x14ac:dyDescent="0.35">
      <c r="A7" s="14" t="s">
        <v>58</v>
      </c>
      <c r="B7" s="18">
        <v>25</v>
      </c>
    </row>
    <row r="8" spans="1:2" x14ac:dyDescent="0.35">
      <c r="A8" s="14" t="s">
        <v>75</v>
      </c>
      <c r="B8" s="18">
        <v>11</v>
      </c>
    </row>
    <row r="9" spans="1:2" x14ac:dyDescent="0.35">
      <c r="A9" s="15" t="s">
        <v>1566</v>
      </c>
      <c r="B9" s="19">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7E98-CDFA-451E-9045-A51D89E7EFF9}">
  <dimension ref="A3:B7"/>
  <sheetViews>
    <sheetView workbookViewId="0">
      <selection activeCell="B4" sqref="B4"/>
    </sheetView>
  </sheetViews>
  <sheetFormatPr defaultRowHeight="15.5" x14ac:dyDescent="0.35"/>
  <cols>
    <col min="1" max="1" width="12" bestFit="1" customWidth="1"/>
    <col min="2" max="2" width="22.08203125" bestFit="1" customWidth="1"/>
  </cols>
  <sheetData>
    <row r="3" spans="1:2" x14ac:dyDescent="0.35">
      <c r="A3" s="12" t="s">
        <v>1565</v>
      </c>
      <c r="B3" s="7" t="s">
        <v>1568</v>
      </c>
    </row>
    <row r="4" spans="1:2" x14ac:dyDescent="0.35">
      <c r="A4" s="13" t="s">
        <v>161</v>
      </c>
      <c r="B4" s="20">
        <v>5.0632911392405063E-2</v>
      </c>
    </row>
    <row r="5" spans="1:2" x14ac:dyDescent="0.35">
      <c r="A5" s="14" t="s">
        <v>60</v>
      </c>
      <c r="B5" s="21">
        <v>0.56118143459915615</v>
      </c>
    </row>
    <row r="6" spans="1:2" x14ac:dyDescent="0.35">
      <c r="A6" s="14" t="s">
        <v>48</v>
      </c>
      <c r="B6" s="21">
        <v>0.3881856540084388</v>
      </c>
    </row>
    <row r="7" spans="1:2" x14ac:dyDescent="0.35">
      <c r="A7" s="15" t="s">
        <v>1566</v>
      </c>
      <c r="B7" s="22">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A43F-C733-4401-B843-87A3E6669E00}">
  <dimension ref="A3:E13"/>
  <sheetViews>
    <sheetView workbookViewId="0">
      <selection activeCell="I13" sqref="I13"/>
    </sheetView>
  </sheetViews>
  <sheetFormatPr defaultRowHeight="15.5" x14ac:dyDescent="0.35"/>
  <cols>
    <col min="1" max="1" width="22.83203125" bestFit="1" customWidth="1"/>
    <col min="2" max="2" width="22.08203125" bestFit="1" customWidth="1"/>
    <col min="4" max="4" width="22.83203125" bestFit="1" customWidth="1"/>
  </cols>
  <sheetData>
    <row r="3" spans="1:5" x14ac:dyDescent="0.35">
      <c r="A3" s="12" t="s">
        <v>1565</v>
      </c>
      <c r="B3" s="7" t="s">
        <v>1568</v>
      </c>
      <c r="D3" s="1" t="s">
        <v>9</v>
      </c>
      <c r="E3" s="1" t="s">
        <v>0</v>
      </c>
    </row>
    <row r="4" spans="1:5" x14ac:dyDescent="0.35">
      <c r="A4" s="13" t="s">
        <v>83</v>
      </c>
      <c r="B4" s="7">
        <v>9</v>
      </c>
      <c r="D4" t="str">
        <f>A4</f>
        <v>Healthcare Representative</v>
      </c>
      <c r="E4">
        <f>GETPIVOTDATA("CF_attrition count",$A$3,"Job Role",A4)</f>
        <v>9</v>
      </c>
    </row>
    <row r="5" spans="1:5" x14ac:dyDescent="0.35">
      <c r="A5" s="14" t="s">
        <v>163</v>
      </c>
      <c r="B5" s="18">
        <v>12</v>
      </c>
      <c r="D5" t="str">
        <f t="shared" ref="D5:D12" si="0">A5</f>
        <v>Human Resources</v>
      </c>
      <c r="E5">
        <f t="shared" ref="E5:E11" si="1">GETPIVOTDATA("CF_attrition count",$A$3,"Job Role",A5)</f>
        <v>12</v>
      </c>
    </row>
    <row r="6" spans="1:5" x14ac:dyDescent="0.35">
      <c r="A6" s="14" t="s">
        <v>68</v>
      </c>
      <c r="B6" s="18">
        <v>62</v>
      </c>
      <c r="D6" t="str">
        <f t="shared" si="0"/>
        <v>Laboratory Technician</v>
      </c>
      <c r="E6">
        <f t="shared" si="1"/>
        <v>62</v>
      </c>
    </row>
    <row r="7" spans="1:5" x14ac:dyDescent="0.35">
      <c r="A7" s="14" t="s">
        <v>95</v>
      </c>
      <c r="B7" s="18">
        <v>5</v>
      </c>
      <c r="D7" t="str">
        <f t="shared" si="0"/>
        <v>Manager</v>
      </c>
      <c r="E7">
        <f t="shared" si="1"/>
        <v>5</v>
      </c>
    </row>
    <row r="8" spans="1:5" x14ac:dyDescent="0.35">
      <c r="A8" s="14" t="s">
        <v>81</v>
      </c>
      <c r="B8" s="18">
        <v>10</v>
      </c>
      <c r="D8" t="str">
        <f t="shared" si="0"/>
        <v>Manufacturing Director</v>
      </c>
      <c r="E8">
        <f t="shared" si="1"/>
        <v>10</v>
      </c>
    </row>
    <row r="9" spans="1:5" x14ac:dyDescent="0.35">
      <c r="A9" s="14" t="s">
        <v>101</v>
      </c>
      <c r="B9" s="18">
        <v>2</v>
      </c>
      <c r="D9" t="str">
        <f t="shared" si="0"/>
        <v>Research Director</v>
      </c>
      <c r="E9">
        <f t="shared" si="1"/>
        <v>2</v>
      </c>
    </row>
    <row r="10" spans="1:5" x14ac:dyDescent="0.35">
      <c r="A10" s="14" t="s">
        <v>63</v>
      </c>
      <c r="B10" s="18">
        <v>47</v>
      </c>
      <c r="D10" t="str">
        <f t="shared" si="0"/>
        <v>Research Scientist</v>
      </c>
      <c r="E10">
        <f t="shared" si="1"/>
        <v>47</v>
      </c>
    </row>
    <row r="11" spans="1:5" x14ac:dyDescent="0.35">
      <c r="A11" s="14" t="s">
        <v>52</v>
      </c>
      <c r="B11" s="18">
        <v>57</v>
      </c>
      <c r="D11" t="str">
        <f t="shared" si="0"/>
        <v>Sales Executive</v>
      </c>
      <c r="E11">
        <f t="shared" si="1"/>
        <v>57</v>
      </c>
    </row>
    <row r="12" spans="1:5" x14ac:dyDescent="0.35">
      <c r="A12" s="14" t="s">
        <v>99</v>
      </c>
      <c r="B12" s="18">
        <v>33</v>
      </c>
      <c r="D12" t="str">
        <f t="shared" si="0"/>
        <v>Sales Representative</v>
      </c>
      <c r="E12">
        <f>GETPIVOTDATA("CF_attrition count",$A$3,"Job Role",A12)</f>
        <v>33</v>
      </c>
    </row>
    <row r="13" spans="1:5" x14ac:dyDescent="0.35">
      <c r="A13" s="15" t="s">
        <v>1566</v>
      </c>
      <c r="B13" s="1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99DB-A3E4-4EF4-B8EA-0EC978D62E71}">
  <dimension ref="A3:B9"/>
  <sheetViews>
    <sheetView workbookViewId="0">
      <selection activeCell="L18" sqref="L18"/>
    </sheetView>
  </sheetViews>
  <sheetFormatPr defaultRowHeight="15.5" x14ac:dyDescent="0.35"/>
  <cols>
    <col min="1" max="1" width="15.58203125" bestFit="1" customWidth="1"/>
    <col min="2" max="2" width="22.08203125" bestFit="1" customWidth="1"/>
  </cols>
  <sheetData>
    <row r="3" spans="1:2" x14ac:dyDescent="0.35">
      <c r="A3" s="12" t="s">
        <v>1565</v>
      </c>
      <c r="B3" s="7" t="s">
        <v>1568</v>
      </c>
    </row>
    <row r="4" spans="1:2" x14ac:dyDescent="0.35">
      <c r="A4" s="13" t="s">
        <v>134</v>
      </c>
      <c r="B4" s="7">
        <v>5</v>
      </c>
    </row>
    <row r="5" spans="1:2" x14ac:dyDescent="0.35">
      <c r="A5" s="14" t="s">
        <v>65</v>
      </c>
      <c r="B5" s="18">
        <v>31</v>
      </c>
    </row>
    <row r="6" spans="1:2" x14ac:dyDescent="0.35">
      <c r="A6" s="14" t="s">
        <v>55</v>
      </c>
      <c r="B6" s="18">
        <v>44</v>
      </c>
    </row>
    <row r="7" spans="1:2" x14ac:dyDescent="0.35">
      <c r="A7" s="14" t="s">
        <v>71</v>
      </c>
      <c r="B7" s="18">
        <v>58</v>
      </c>
    </row>
    <row r="8" spans="1:2" x14ac:dyDescent="0.35">
      <c r="A8" s="14" t="s">
        <v>77</v>
      </c>
      <c r="B8" s="18">
        <v>99</v>
      </c>
    </row>
    <row r="9" spans="1:2" x14ac:dyDescent="0.35">
      <c r="A9" s="15" t="s">
        <v>1566</v>
      </c>
      <c r="B9" s="19">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9034-283B-48EF-BF77-08336638BD73}">
  <dimension ref="A3:C9"/>
  <sheetViews>
    <sheetView workbookViewId="0">
      <selection activeCell="C8" sqref="C8:C9"/>
    </sheetView>
  </sheetViews>
  <sheetFormatPr defaultRowHeight="15.5" x14ac:dyDescent="0.35"/>
  <cols>
    <col min="1" max="1" width="12" bestFit="1" customWidth="1"/>
    <col min="2" max="2" width="22.08203125" bestFit="1" customWidth="1"/>
  </cols>
  <sheetData>
    <row r="3" spans="1:3" x14ac:dyDescent="0.35">
      <c r="A3" s="12" t="s">
        <v>1565</v>
      </c>
      <c r="B3" s="7" t="s">
        <v>1567</v>
      </c>
    </row>
    <row r="4" spans="1:3" x14ac:dyDescent="0.35">
      <c r="A4" s="13" t="s">
        <v>51</v>
      </c>
      <c r="B4" s="7">
        <v>588</v>
      </c>
    </row>
    <row r="5" spans="1:3" x14ac:dyDescent="0.35">
      <c r="A5" s="14" t="s">
        <v>62</v>
      </c>
      <c r="B5" s="18">
        <v>882</v>
      </c>
    </row>
    <row r="6" spans="1:3" x14ac:dyDescent="0.35">
      <c r="A6" s="15" t="s">
        <v>1566</v>
      </c>
      <c r="B6" s="19">
        <v>1470</v>
      </c>
    </row>
    <row r="8" spans="1:3" x14ac:dyDescent="0.35">
      <c r="A8" s="16" t="s">
        <v>51</v>
      </c>
      <c r="B8">
        <f>IFERROR(GETPIVOTDATA("Employee Count",$A$3,"Gender","Female"),0)</f>
        <v>588</v>
      </c>
      <c r="C8" s="17">
        <f>IFERROR(B8/($B$8+$B$9),0)</f>
        <v>0.4</v>
      </c>
    </row>
    <row r="9" spans="1:3" x14ac:dyDescent="0.35">
      <c r="A9" s="16" t="s">
        <v>62</v>
      </c>
      <c r="B9">
        <f>IFERROR(GETPIVOTDATA("Employee Count",$A$3,"Gender","Male"),0)</f>
        <v>882</v>
      </c>
      <c r="C9" s="17">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3945B-83DB-47C1-BD96-590CBDBAB264}">
  <dimension ref="A3:C7"/>
  <sheetViews>
    <sheetView workbookViewId="0">
      <selection activeCell="G10" sqref="G10"/>
    </sheetView>
  </sheetViews>
  <sheetFormatPr defaultRowHeight="15.5" x14ac:dyDescent="0.35"/>
  <cols>
    <col min="1" max="1" width="23" bestFit="1" customWidth="1"/>
  </cols>
  <sheetData>
    <row r="3" spans="1:3" x14ac:dyDescent="0.35">
      <c r="A3" s="7" t="s">
        <v>1562</v>
      </c>
    </row>
    <row r="4" spans="1:3" x14ac:dyDescent="0.35">
      <c r="A4" s="8">
        <v>2.6265306122448981</v>
      </c>
    </row>
    <row r="6" spans="1:3" x14ac:dyDescent="0.35">
      <c r="A6" s="1" t="s">
        <v>1563</v>
      </c>
      <c r="B6" s="9">
        <f>GETPIVOTDATA("Job Satisfaction",$A$3)</f>
        <v>2.6265306122448981</v>
      </c>
      <c r="C6">
        <f>B6/4</f>
        <v>0.65663265306122454</v>
      </c>
    </row>
    <row r="7" spans="1:3" x14ac:dyDescent="0.35">
      <c r="A7" s="1" t="s">
        <v>1564</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BCCC-7790-4722-8352-29204055403D}">
  <dimension ref="A3:E8"/>
  <sheetViews>
    <sheetView workbookViewId="0">
      <selection activeCell="E9" sqref="E9"/>
    </sheetView>
  </sheetViews>
  <sheetFormatPr defaultRowHeight="15.5" x14ac:dyDescent="0.35"/>
  <cols>
    <col min="1" max="1" width="23.83203125" bestFit="1" customWidth="1"/>
    <col min="2" max="2" width="22.83203125" bestFit="1" customWidth="1"/>
    <col min="3" max="3" width="13.08203125" bestFit="1" customWidth="1"/>
    <col min="4" max="4" width="14.5" bestFit="1" customWidth="1"/>
    <col min="5" max="5" width="11.9140625" bestFit="1" customWidth="1"/>
  </cols>
  <sheetData>
    <row r="3" spans="1:5" x14ac:dyDescent="0.35">
      <c r="A3" s="2" t="s">
        <v>1554</v>
      </c>
      <c r="B3" s="4" t="s">
        <v>1555</v>
      </c>
      <c r="C3" s="3" t="s">
        <v>1556</v>
      </c>
    </row>
    <row r="4" spans="1:5" x14ac:dyDescent="0.35">
      <c r="A4" s="23">
        <v>1470</v>
      </c>
      <c r="B4" s="24">
        <v>237</v>
      </c>
      <c r="C4" s="25">
        <v>36.923809523809524</v>
      </c>
    </row>
    <row r="7" spans="1:5" x14ac:dyDescent="0.35">
      <c r="A7" s="1" t="s">
        <v>1557</v>
      </c>
      <c r="B7" s="1" t="s">
        <v>1558</v>
      </c>
      <c r="C7" s="1" t="s">
        <v>1559</v>
      </c>
      <c r="D7" s="1" t="s">
        <v>1560</v>
      </c>
      <c r="E7" s="1" t="s">
        <v>1561</v>
      </c>
    </row>
    <row r="8" spans="1:5" x14ac:dyDescent="0.35">
      <c r="A8">
        <f>GETPIVOTDATA("Count of Employee Number",$A$3)</f>
        <v>1470</v>
      </c>
      <c r="B8">
        <f>GETPIVOTDATA("Sum of CF_attrition counts",$A$3)</f>
        <v>237</v>
      </c>
      <c r="C8" s="6">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topLeftCell="C2" zoomScale="50" zoomScaleNormal="100" workbookViewId="0">
      <selection activeCell="AA18" sqref="AA18"/>
    </sheetView>
  </sheetViews>
  <sheetFormatPr defaultColWidth="11.25" defaultRowHeight="15" customHeight="1" x14ac:dyDescent="0.35"/>
  <cols>
    <col min="1" max="26" width="8.58203125" style="11" customWidth="1"/>
    <col min="27" max="16384" width="11.25" style="1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Marital Status</vt:lpstr>
      <vt:lpstr>Attrition by Age group</vt:lpstr>
      <vt:lpstr>Dept wise attrition</vt:lpstr>
      <vt:lpstr>Attrition by job</vt:lpstr>
      <vt:lpstr>Education by Attrition</vt:lpstr>
      <vt:lpstr>Gender</vt:lpstr>
      <vt:lpstr>Rating</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anvaya singh</cp:lastModifiedBy>
  <dcterms:created xsi:type="dcterms:W3CDTF">2022-12-29T16:02:46Z</dcterms:created>
  <dcterms:modified xsi:type="dcterms:W3CDTF">2025-11-03T09:52:28Z</dcterms:modified>
</cp:coreProperties>
</file>